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-partner-integrations.egnyte.com/msoffice/wopi/files/479a3e16-590e-4511-bf16-e9298f8fb9d0/WOPIServiceId_TP_EGNYTE_PLUS/WOPIUserId_-/"/>
    </mc:Choice>
  </mc:AlternateContent>
  <xr:revisionPtr revIDLastSave="393" documentId="8_{BC52FB90-88E9-44B4-A03E-68600D8D077E}" xr6:coauthVersionLast="47" xr6:coauthVersionMax="47" xr10:uidLastSave="{459FCDCF-9367-457B-9098-22811FF510ED}"/>
  <bookViews>
    <workbookView minimized="1" xWindow="19095" yWindow="0" windowWidth="38610" windowHeight="20880" xr2:uid="{42EC9248-B687-436B-B956-DC0B5DB635A9}"/>
  </bookViews>
  <sheets>
    <sheet name="Summary" sheetId="1" r:id="rId1"/>
    <sheet name="Sheet1" sheetId="12" r:id="rId2"/>
    <sheet name="P2 Names" sheetId="9" r:id="rId3"/>
    <sheet name="Hyperscaler benchmarking" sheetId="7" r:id="rId4"/>
    <sheet name="Backup&gt;&gt;" sheetId="6" r:id="rId5"/>
    <sheet name="Margin Benchmarking" sheetId="5" r:id="rId6"/>
    <sheet name="2026-04-26 Output" sheetId="11" r:id="rId7"/>
  </sheets>
  <definedNames>
    <definedName name="_xlnm._FilterDatabase" localSheetId="6" hidden="1">'2026-04-26 Output'!$D$5:$EN$52</definedName>
    <definedName name="_xlnm._FilterDatabase" localSheetId="2" hidden="1">'P2 Names'!$B$5:$EP$5</definedName>
    <definedName name="_xlnm._FilterDatabase" localSheetId="1" hidden="1">Sheet1!$B$3:$EL$39</definedName>
    <definedName name="_xlnm._FilterDatabase" localSheetId="0" hidden="1">Summary!$B$5:$FV$48</definedName>
    <definedName name="MLNK0e8cae2cca454266bbe5d3753aa6f791" localSheetId="6" hidden="1">'2026-04-26 Output'!$D$4:$EE$52</definedName>
    <definedName name="MLNK0e8cae2cca454266bbe5d3753aa6f791" localSheetId="2" hidden="1">'P2 Names'!$D$4:$EE$5</definedName>
    <definedName name="MLNK0e8cae2cca454266bbe5d3753aa6f791" hidden="1">Summary!$D$4:$ED$55</definedName>
    <definedName name="MLNK2422d7ab149849d98005a23762eea5f4" hidden="1" xml:space="preserve">            'Hyperscaler benchmarking'!$1:$1048576</definedName>
    <definedName name="MLNK685c07fc736a4ecba8e10a3fb44597fd" localSheetId="6" hidden="1">'2026-04-26 Output'!$1:$1048576</definedName>
    <definedName name="MLNK685c07fc736a4ecba8e10a3fb44597fd" localSheetId="2" hidden="1">'P2 Names'!$1:$1048576</definedName>
    <definedName name="MLNK685c07fc736a4ecba8e10a3fb44597fd" hidden="1">Summary!$1:$1048576</definedName>
    <definedName name="MLNK8cc02b15fbd14e7c9efc6419f72191dc" hidden="1" xml:space="preserve">            'Hyperscaler benchmarking'!$B$2:$G$30</definedName>
    <definedName name="MLNKb3a24bfe53b74cf09186acde8641d645" hidden="1" xml:space="preserve">            'Hyperscaler benchmarking'!$1:$1048576</definedName>
    <definedName name="MLNKba25f09eef7b4521b62803b417723c43" hidden="1" xml:space="preserve">            'Hyperscaler benchmarking'!$B$2:$G$30</definedName>
    <definedName name="MLNKeb09df2ccfdd4e3a9a48a1e14299a483" localSheetId="6" hidden="1">'2026-04-26 Output'!$D$4:$EN$52</definedName>
    <definedName name="MLNKeb09df2ccfdd4e3a9a48a1e14299a483" localSheetId="2" hidden="1">'P2 Names'!$D$4:$EN$5</definedName>
    <definedName name="MLNKeb09df2ccfdd4e3a9a48a1e14299a483" hidden="1">Summary!$D$4:$EM$44</definedName>
    <definedName name="MLNKede8cfd40d0b47f2bb4fa4b0d00dc70b" localSheetId="6" hidden="1">'2026-04-26 Output'!$D$4:$EN$52</definedName>
    <definedName name="MLNKede8cfd40d0b47f2bb4fa4b0d00dc70b" localSheetId="2" hidden="1">'P2 Names'!$D$4:$EO$5</definedName>
    <definedName name="MLNKede8cfd40d0b47f2bb4fa4b0d00dc70b" hidden="1">Summary!$D$4:$EN$44</definedName>
    <definedName name="_xlnm.Print_Area" localSheetId="6">'2026-04-26 Output'!$A$1:$EN$52</definedName>
    <definedName name="_xlnm.Print_Area" localSheetId="2">'P2 Names'!$A$1:$EP$12</definedName>
    <definedName name="_xlnm.Print_Area" localSheetId="0">Summary!$D$4:$EK$56</definedName>
  </definedNames>
  <calcPr calcId="191029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X42" i="1" l="1" a="1"/>
  <c r="EX36" i="1" a="1"/>
  <c r="EX47" i="1" a="1"/>
  <c r="EX31" i="1" a="1"/>
  <c r="I32" i="1" a="1"/>
  <c r="I31" i="1" a="1"/>
  <c r="EY42" i="1" a="1"/>
  <c r="EY44" i="1" a="1"/>
  <c r="EZ42" i="1" a="1"/>
  <c r="EX29" i="1" a="1"/>
  <c r="EX44" i="1" a="1"/>
  <c r="EZ44" i="1" a="1"/>
  <c r="I7" i="1" a="1"/>
  <c r="I30" i="1" a="1"/>
  <c r="FA42" i="1" a="1"/>
  <c r="FA44" i="1" a="1"/>
  <c r="EX27" i="1" a="1"/>
  <c r="I24" i="1" a="1"/>
  <c r="EX48" i="1" a="1"/>
  <c r="EX30" i="1" a="1"/>
  <c r="EN7" i="1" a="1"/>
  <c r="EX30" i="1" l="1"/>
  <c r="EX48" i="1"/>
  <c r="I24" i="1"/>
  <c r="EX27" i="1"/>
  <c r="FA44" i="1"/>
  <c r="FA42" i="1"/>
  <c r="I30" i="1"/>
  <c r="I7" i="1"/>
  <c r="EZ44" i="1"/>
  <c r="EX44" i="1"/>
  <c r="EX29" i="1"/>
  <c r="EZ42" i="1"/>
  <c r="EY44" i="1"/>
  <c r="EY42" i="1"/>
  <c r="I31" i="1"/>
  <c r="I32" i="1"/>
  <c r="EX31" i="1"/>
  <c r="EX47" i="1"/>
  <c r="EX36" i="1"/>
  <c r="EX42" i="1"/>
  <c r="EN7" i="1"/>
  <c r="EC30" i="1" a="1"/>
  <c r="EC30" i="1"/>
  <c r="EB41" i="1" a="1"/>
  <c r="EB41" i="1"/>
  <c r="EN9" i="1" a="1"/>
  <c r="EN9" i="1"/>
  <c r="EC36" i="1" a="1"/>
  <c r="EC36" i="1"/>
  <c r="ED30" i="1" a="1"/>
  <c r="ED30" i="1"/>
  <c r="EB7" i="1" a="1"/>
  <c r="EB7" i="1"/>
  <c r="EB44" i="1" a="1"/>
  <c r="EB44" i="1"/>
  <c r="EB12" i="1" a="1"/>
  <c r="EB12" i="1"/>
  <c r="EC32" i="1" a="1"/>
  <c r="EC32" i="1"/>
  <c r="EB32" i="1" a="1"/>
  <c r="EB32" i="1"/>
  <c r="ED12" i="1" a="1"/>
  <c r="ED12" i="1"/>
  <c r="ED36" i="1" a="1"/>
  <c r="ED36" i="1"/>
  <c r="EB36" i="1" a="1"/>
  <c r="EB36" i="1"/>
  <c r="EN14" i="1" a="1"/>
  <c r="EN14" i="1"/>
  <c r="EB14" i="1" a="1"/>
  <c r="EB14" i="1"/>
  <c r="ED7" i="1" a="1"/>
  <c r="ED7" i="1"/>
  <c r="EB9" i="1" a="1"/>
  <c r="EB9" i="1"/>
  <c r="ED14" i="1" a="1"/>
  <c r="ED14" i="1"/>
  <c r="ED18" i="1" a="1"/>
  <c r="ED18" i="1"/>
  <c r="EN12" i="1" a="1"/>
  <c r="EN12" i="1"/>
  <c r="EN18" i="1" a="1"/>
  <c r="EN18" i="1"/>
  <c r="EN30" i="1" a="1"/>
  <c r="EN30" i="1"/>
  <c r="EC7" i="1" a="1"/>
  <c r="EC7" i="1"/>
  <c r="EC14" i="1" a="1"/>
  <c r="EC14" i="1"/>
  <c r="EB18" i="1" a="1"/>
  <c r="EB18" i="1"/>
  <c r="EC9" i="1" a="1"/>
  <c r="EC9" i="1"/>
  <c r="ED41" i="1" a="1"/>
  <c r="ED41" i="1"/>
  <c r="ED44" i="1" a="1"/>
  <c r="ED44" i="1"/>
  <c r="EB30" i="1" a="1"/>
  <c r="EB30" i="1"/>
  <c r="EC41" i="1" a="1"/>
  <c r="EC41" i="1"/>
  <c r="EC12" i="1" a="1"/>
  <c r="EC12" i="1"/>
  <c r="EN36" i="1" a="1"/>
  <c r="EN36" i="1"/>
  <c r="ED32" i="1" a="1"/>
  <c r="ED32" i="1"/>
  <c r="EN44" i="1" a="1"/>
  <c r="EN44" i="1"/>
  <c r="EC44" i="1" a="1"/>
  <c r="EC44" i="1"/>
  <c r="EN32" i="1" a="1"/>
  <c r="EN32" i="1"/>
  <c r="EN41" i="1" a="1"/>
  <c r="EN41" i="1"/>
  <c r="EC18" i="1" a="1"/>
  <c r="EC18" i="1"/>
  <c r="ED9" i="1" a="1"/>
  <c r="ED9" i="1"/>
  <c r="EC27" i="1" a="1"/>
  <c r="EC27" i="1"/>
  <c r="EB27" i="1" a="1"/>
  <c r="EB27" i="1"/>
  <c r="EB35" i="1" a="1"/>
  <c r="EB35" i="1"/>
  <c r="EB51" i="1" a="1"/>
  <c r="EB51" i="1"/>
  <c r="ED29" i="1" a="1"/>
  <c r="ED29" i="1"/>
  <c r="EC37" i="1" a="1"/>
  <c r="EC37" i="1"/>
  <c r="EC40" i="1" a="1"/>
  <c r="EC40" i="1"/>
  <c r="ED27" i="1" a="1"/>
  <c r="ED27" i="1"/>
  <c r="EB37" i="1" a="1"/>
  <c r="EB37" i="1"/>
  <c r="ED42" i="1" a="1"/>
  <c r="ED42" i="1"/>
  <c r="EN37" i="1" a="1"/>
  <c r="EN37" i="1"/>
  <c r="EC51" i="1" a="1"/>
  <c r="EC51" i="1"/>
  <c r="EN13" i="1" a="1"/>
  <c r="EN13" i="1"/>
  <c r="ED23" i="1" a="1"/>
  <c r="ED23" i="1"/>
  <c r="EN35" i="1" a="1"/>
  <c r="EN35" i="1"/>
  <c r="EC48" i="1" a="1"/>
  <c r="EC48" i="1"/>
  <c r="ED51" i="1" a="1"/>
  <c r="ED51" i="1"/>
  <c r="EC35" i="1" a="1"/>
  <c r="EC35" i="1"/>
  <c r="ED48" i="1" a="1"/>
  <c r="ED48" i="1"/>
  <c r="EN48" i="1" a="1"/>
  <c r="EN48" i="1"/>
  <c r="EC23" i="1" a="1"/>
  <c r="EC23" i="1"/>
  <c r="EC13" i="1" a="1"/>
  <c r="EC13" i="1"/>
  <c r="EB42" i="1" a="1"/>
  <c r="EB42" i="1"/>
  <c r="ED13" i="1" a="1"/>
  <c r="ED13" i="1"/>
  <c r="EN23" i="1" a="1"/>
  <c r="EN23" i="1"/>
  <c r="ED35" i="1" a="1"/>
  <c r="ED35" i="1"/>
  <c r="EN42" i="1" a="1"/>
  <c r="EN42" i="1"/>
  <c r="ED37" i="1" a="1"/>
  <c r="ED37" i="1"/>
  <c r="EB23" i="1" a="1"/>
  <c r="EB23" i="1"/>
  <c r="EN29" i="1" a="1"/>
  <c r="EN29" i="1"/>
  <c r="EB40" i="1" a="1"/>
  <c r="EB40" i="1"/>
  <c r="EB13" i="1" a="1"/>
  <c r="EB13" i="1"/>
  <c r="EB48" i="1" a="1"/>
  <c r="EB48" i="1"/>
  <c r="EN40" i="1" a="1"/>
  <c r="EN40" i="1"/>
  <c r="EB29" i="1" a="1"/>
  <c r="EB29" i="1"/>
  <c r="EC42" i="1" a="1"/>
  <c r="EC42" i="1"/>
  <c r="EC29" i="1" a="1"/>
  <c r="EC29" i="1"/>
  <c r="EN51" i="1" a="1"/>
  <c r="EN51" i="1"/>
  <c r="EN27" i="1" a="1"/>
  <c r="EN27" i="1"/>
  <c r="ED40" i="1" a="1"/>
  <c r="ED40" i="1"/>
  <c r="ED10" i="1" a="1"/>
  <c r="ED10" i="1"/>
  <c r="EB24" i="1" a="1"/>
  <c r="EB24" i="1"/>
  <c r="EB31" i="1" a="1"/>
  <c r="EB31" i="1"/>
  <c r="EN19" i="1" a="1"/>
  <c r="EN19" i="1"/>
  <c r="ED11" i="1" a="1"/>
  <c r="ED11" i="1"/>
  <c r="EC11" i="1" a="1"/>
  <c r="EC11" i="1"/>
  <c r="ED21" i="1" a="1"/>
  <c r="ED21" i="1"/>
  <c r="EN24" i="1" a="1"/>
  <c r="EN24" i="1"/>
  <c r="EC43" i="1" a="1"/>
  <c r="EC43" i="1"/>
  <c r="EB21" i="1" a="1"/>
  <c r="EB21" i="1"/>
  <c r="EC10" i="1" a="1"/>
  <c r="EC10" i="1"/>
  <c r="EC19" i="1" a="1"/>
  <c r="EC19" i="1"/>
  <c r="EB8" i="1" a="1"/>
  <c r="EB8" i="1"/>
  <c r="ED22" i="1" a="1"/>
  <c r="ED22" i="1"/>
  <c r="EB43" i="1" a="1"/>
  <c r="EB43" i="1"/>
  <c r="EC8" i="1" a="1"/>
  <c r="EC8" i="1"/>
  <c r="ED8" i="1" a="1"/>
  <c r="ED8" i="1"/>
  <c r="ED19" i="1" a="1"/>
  <c r="ED19" i="1"/>
  <c r="EB11" i="1" a="1"/>
  <c r="EB11" i="1"/>
  <c r="EC21" i="1" a="1"/>
  <c r="EC21" i="1"/>
  <c r="EN31" i="1" a="1"/>
  <c r="EN31" i="1"/>
  <c r="EC22" i="1" a="1"/>
  <c r="EC22" i="1"/>
  <c r="EN20" i="1" a="1"/>
  <c r="EN20" i="1"/>
  <c r="EB10" i="1" a="1"/>
  <c r="EB10" i="1"/>
  <c r="EB20" i="1" a="1"/>
  <c r="EB20" i="1"/>
  <c r="ED43" i="1" a="1"/>
  <c r="ED43" i="1"/>
  <c r="EC24" i="1" a="1"/>
  <c r="EC24" i="1"/>
  <c r="ED20" i="1" a="1"/>
  <c r="ED20" i="1"/>
  <c r="ED31" i="1" a="1"/>
  <c r="ED31" i="1"/>
  <c r="EN43" i="1" a="1"/>
  <c r="EN43" i="1"/>
  <c r="EN8" i="1" a="1"/>
  <c r="EN8" i="1"/>
  <c r="EN10" i="1" a="1"/>
  <c r="EN10" i="1"/>
  <c r="EN11" i="1" a="1"/>
  <c r="EN11" i="1"/>
  <c r="EC20" i="1" a="1"/>
  <c r="EC20" i="1"/>
  <c r="ED24" i="1" a="1"/>
  <c r="ED24" i="1"/>
  <c r="EN22" i="1" a="1"/>
  <c r="EN22" i="1"/>
  <c r="EC31" i="1" a="1"/>
  <c r="EC31" i="1"/>
  <c r="EB19" i="1" a="1"/>
  <c r="EB19" i="1"/>
  <c r="EN21" i="1" a="1"/>
  <c r="EN21" i="1"/>
  <c r="EB22" i="1" a="1"/>
  <c r="EB22" i="1"/>
  <c r="ED28" i="1" a="1"/>
  <c r="ED28" i="1"/>
  <c r="EC47" i="1" a="1"/>
  <c r="EC47" i="1"/>
  <c r="EB49" i="1" a="1"/>
  <c r="EB49" i="1"/>
  <c r="EB28" i="1" a="1"/>
  <c r="EB28" i="1"/>
  <c r="EB50" i="1" a="1"/>
  <c r="EB50" i="1"/>
  <c r="EB47" i="1" a="1"/>
  <c r="EB47" i="1"/>
  <c r="EC49" i="1" a="1"/>
  <c r="EC49" i="1"/>
  <c r="EN28" i="1" a="1"/>
  <c r="EN28" i="1"/>
  <c r="EC50" i="1" a="1"/>
  <c r="EC50" i="1"/>
  <c r="ED50" i="1" a="1"/>
  <c r="ED50" i="1"/>
  <c r="EC15" i="1" a="1"/>
  <c r="EC15" i="1"/>
  <c r="EN49" i="1" a="1"/>
  <c r="EN49" i="1"/>
  <c r="EN15" i="1" a="1"/>
  <c r="EN15" i="1"/>
  <c r="ED15" i="1" a="1"/>
  <c r="ED15" i="1"/>
  <c r="ED47" i="1" a="1"/>
  <c r="ED47" i="1"/>
  <c r="EN50" i="1" a="1"/>
  <c r="EN50" i="1"/>
  <c r="EN47" i="1" a="1"/>
  <c r="EN47" i="1"/>
  <c r="ED49" i="1" a="1"/>
  <c r="ED49" i="1"/>
  <c r="EC28" i="1" a="1"/>
  <c r="EC28" i="1"/>
  <c r="EB15" i="1" a="1"/>
  <c r="EB15" i="1"/>
  <c r="EB55" i="1" a="1"/>
  <c r="EB55" i="1" l="1"/>
  <c r="ED54" i="1" a="1"/>
  <c r="ED54" i="1"/>
  <c r="ED55" i="1" a="1"/>
  <c r="ED55" i="1"/>
  <c r="EC54" i="1" a="1"/>
  <c r="EC54" i="1"/>
  <c r="EB54" i="1" a="1"/>
  <c r="EB54" i="1"/>
  <c r="EC55" i="1" a="1"/>
  <c r="EC55" i="1"/>
  <c r="BZ55" i="1" a="1"/>
  <c r="BZ55" i="1"/>
  <c r="BZ54" i="1" a="1"/>
  <c r="BZ54" i="1"/>
  <c r="BY55" i="1" a="1"/>
  <c r="BY55" i="1"/>
  <c r="BY54" i="1" a="1"/>
  <c r="BY54" i="1"/>
  <c r="CA54" i="1" a="1"/>
  <c r="CA54" i="1"/>
  <c r="CA55" i="1" a="1"/>
  <c r="CA55" i="1"/>
  <c r="H11" i="9"/>
  <c r="EO16" i="9" a="1"/>
  <c r="EO16" i="9"/>
  <c r="ED16" i="9" a="1"/>
  <c r="ED16" i="9"/>
  <c r="C3" i="7"/>
  <c r="ED12" i="9" a="1"/>
  <c r="ED12" i="9"/>
  <c r="EE10" i="9" a="1"/>
  <c r="EE10" i="9"/>
  <c r="ED15" i="9" a="1"/>
  <c r="ED15" i="9"/>
  <c r="H12" i="9"/>
  <c r="EE15" i="9" a="1"/>
  <c r="EE15" i="9"/>
  <c r="E3" i="7"/>
  <c r="ED11" i="9" a="1"/>
  <c r="ED11" i="9"/>
  <c r="EC16" i="9" a="1"/>
  <c r="EC16" i="9"/>
  <c r="EO9" i="9" a="1"/>
  <c r="EO9" i="9"/>
  <c r="H15" i="9"/>
  <c r="EO12" i="9" a="1"/>
  <c r="EO12" i="9"/>
  <c r="EE11" i="9" a="1"/>
  <c r="EE11" i="9"/>
  <c r="EO10" i="9" a="1"/>
  <c r="EO10" i="9"/>
  <c r="EC12" i="9" a="1"/>
  <c r="EC12" i="9"/>
  <c r="H16" i="9"/>
  <c r="EC10" i="9" a="1"/>
  <c r="EC10" i="9"/>
  <c r="H9" i="9"/>
  <c r="EO11" i="9" a="1"/>
  <c r="EO11" i="9"/>
  <c r="EE12" i="9" a="1"/>
  <c r="EE12" i="9"/>
  <c r="G3" i="7"/>
  <c r="EE16" i="9" a="1"/>
  <c r="EE16" i="9"/>
  <c r="EC15" i="9" a="1"/>
  <c r="EC15" i="9"/>
  <c r="H10" i="9"/>
  <c r="EO15" i="9" a="1"/>
  <c r="EO15" i="9"/>
  <c r="EE9" i="9" a="1"/>
  <c r="EE9" i="9"/>
  <c r="D3" i="7"/>
  <c r="ED9" i="9" a="1"/>
  <c r="ED9" i="9"/>
  <c r="EC9" i="9" a="1"/>
  <c r="EC9" i="9"/>
  <c r="ED10" i="9" a="1"/>
  <c r="ED10" i="9"/>
  <c r="EC11" i="9" a="1"/>
  <c r="EC11" i="9"/>
  <c r="EO19" i="9" a="1"/>
  <c r="EO19" i="9"/>
  <c r="EC17" i="9" a="1"/>
  <c r="EC17" i="9"/>
  <c r="EE19" i="9" a="1"/>
  <c r="EE19" i="9"/>
  <c r="EO17" i="9" a="1"/>
  <c r="EO17" i="9"/>
  <c r="EE17" i="9" a="1"/>
  <c r="EE17" i="9"/>
  <c r="ED19" i="9" a="1"/>
  <c r="ED19" i="9"/>
  <c r="ED17" i="9" a="1"/>
  <c r="ED17" i="9"/>
  <c r="EC19" i="9" a="1"/>
  <c r="EC19" i="9"/>
  <c r="EE18" i="9" a="1"/>
  <c r="EE18" i="9"/>
  <c r="EO18" i="9" a="1"/>
  <c r="EO18" i="9"/>
  <c r="ED18" i="9" a="1"/>
  <c r="ED18" i="9"/>
  <c r="EC18" i="9" a="1"/>
  <c r="EC18" i="9"/>
  <c r="F3" i="7"/>
  <c r="EE14" i="9" a="1"/>
  <c r="EE14" i="9" l="1"/>
  <c r="ED14" i="9" a="1"/>
  <c r="ED14" i="9"/>
  <c r="EC14" i="9" a="1"/>
  <c r="EC14" i="9"/>
  <c r="H14" i="9"/>
  <c r="BG19" i="1" l="1"/>
  <c r="BF19" i="1"/>
  <c r="BE19" i="1"/>
  <c r="BD19" i="1"/>
  <c r="BC19" i="1"/>
  <c r="BB19" i="1"/>
  <c r="BA19" i="1"/>
  <c r="AZ19" i="1"/>
  <c r="AY19" i="1"/>
  <c r="BC20" i="1"/>
  <c r="BD20" i="1"/>
  <c r="BE20" i="1"/>
  <c r="BF20" i="1"/>
  <c r="BG20" i="1"/>
  <c r="FL43" i="1" l="1"/>
  <c r="FH43" i="1"/>
  <c r="EM43" i="1"/>
  <c r="CN43" i="1"/>
  <c r="CE43" i="1"/>
  <c r="CO43" i="1" s="1"/>
  <c r="AO43" i="1"/>
  <c r="AN43" i="1"/>
  <c r="AM43" i="1"/>
  <c r="AL43" i="1"/>
  <c r="AK43" i="1"/>
  <c r="AJ43" i="1"/>
  <c r="AI43" i="1"/>
  <c r="AH43" i="1"/>
  <c r="AG43" i="1"/>
  <c r="M43" i="1"/>
  <c r="EL43" i="1" l="1"/>
  <c r="CF43" i="1"/>
  <c r="FL44" i="1"/>
  <c r="FJ44" i="1"/>
  <c r="FI44" i="1"/>
  <c r="FH44" i="1"/>
  <c r="EM44" i="1"/>
  <c r="EL44" i="1"/>
  <c r="CQ44" i="1"/>
  <c r="CP44" i="1"/>
  <c r="CO44" i="1"/>
  <c r="CN44" i="1"/>
  <c r="M44" i="1"/>
  <c r="FK44" i="1" l="1"/>
  <c r="FM44" i="1"/>
  <c r="FE44" i="1"/>
  <c r="FB44" i="1"/>
  <c r="FC44" i="1"/>
  <c r="FD44" i="1"/>
  <c r="FI43" i="1"/>
  <c r="CP43" i="1"/>
  <c r="CG43" i="1"/>
  <c r="FJ43" i="1"/>
  <c r="FL41" i="1"/>
  <c r="FJ41" i="1"/>
  <c r="FI41" i="1"/>
  <c r="FH41" i="1"/>
  <c r="BG41" i="1"/>
  <c r="CQ41" i="1" s="1"/>
  <c r="BF41" i="1"/>
  <c r="CP41" i="1" s="1"/>
  <c r="BE41" i="1"/>
  <c r="CO41" i="1" s="1"/>
  <c r="BD41" i="1"/>
  <c r="CN41" i="1" s="1"/>
  <c r="BC41" i="1"/>
  <c r="BB41" i="1"/>
  <c r="BA41" i="1"/>
  <c r="AZ41" i="1"/>
  <c r="AY41" i="1"/>
  <c r="AO41" i="1"/>
  <c r="AN41" i="1"/>
  <c r="AM41" i="1"/>
  <c r="AL41" i="1"/>
  <c r="AK41" i="1"/>
  <c r="AJ41" i="1"/>
  <c r="AI41" i="1"/>
  <c r="AH41" i="1"/>
  <c r="AG41" i="1"/>
  <c r="M41" i="1"/>
  <c r="FM43" i="1" l="1"/>
  <c r="FK41" i="1"/>
  <c r="EM41" i="1"/>
  <c r="FM41" i="1"/>
  <c r="EL41" i="1"/>
  <c r="CH43" i="1"/>
  <c r="CQ43" i="1"/>
  <c r="FK43" i="1"/>
  <c r="FL40" i="1"/>
  <c r="FJ40" i="1"/>
  <c r="FI40" i="1"/>
  <c r="FH40" i="1"/>
  <c r="EL40" i="1"/>
  <c r="BG40" i="1"/>
  <c r="CQ40" i="1" s="1"/>
  <c r="BF40" i="1"/>
  <c r="CP40" i="1" s="1"/>
  <c r="BE40" i="1"/>
  <c r="CO40" i="1" s="1"/>
  <c r="BD40" i="1"/>
  <c r="CN40" i="1" s="1"/>
  <c r="BC40" i="1"/>
  <c r="BB40" i="1"/>
  <c r="BA40" i="1"/>
  <c r="M40" i="1"/>
  <c r="EM40" i="1" l="1"/>
  <c r="FM40" i="1"/>
  <c r="FK40" i="1"/>
  <c r="FL42" i="1"/>
  <c r="FJ42" i="1"/>
  <c r="FI42" i="1"/>
  <c r="FH42" i="1"/>
  <c r="EM42" i="1"/>
  <c r="EL42" i="1"/>
  <c r="CQ42" i="1"/>
  <c r="CP42" i="1"/>
  <c r="CO42" i="1"/>
  <c r="CN42" i="1"/>
  <c r="M42" i="1"/>
  <c r="FK42" i="1" l="1"/>
  <c r="FM42" i="1"/>
  <c r="FB42" i="1"/>
  <c r="FE42" i="1"/>
  <c r="FC42" i="1"/>
  <c r="FD42" i="1"/>
  <c r="FL37" i="1"/>
  <c r="FH37" i="1"/>
  <c r="CE37" i="1"/>
  <c r="BG37" i="1"/>
  <c r="BF37" i="1"/>
  <c r="BE37" i="1"/>
  <c r="BD37" i="1"/>
  <c r="CN37" i="1" s="1"/>
  <c r="BC37" i="1"/>
  <c r="BB37" i="1"/>
  <c r="BA37" i="1"/>
  <c r="AZ37" i="1"/>
  <c r="AY37" i="1"/>
  <c r="AO37" i="1"/>
  <c r="AN37" i="1"/>
  <c r="AM37" i="1"/>
  <c r="AL37" i="1"/>
  <c r="AK37" i="1"/>
  <c r="AJ37" i="1"/>
  <c r="AI37" i="1"/>
  <c r="AH37" i="1"/>
  <c r="AG37" i="1"/>
  <c r="M37" i="1"/>
  <c r="EM37" i="1" l="1"/>
  <c r="EL37" i="1"/>
  <c r="CO37" i="1"/>
  <c r="CF37" i="1"/>
  <c r="FL36" i="1"/>
  <c r="FH36" i="1"/>
  <c r="EM36" i="1"/>
  <c r="EL36" i="1"/>
  <c r="CO36" i="1"/>
  <c r="CN36" i="1"/>
  <c r="CF36" i="1"/>
  <c r="FI36" i="1" s="1"/>
  <c r="AX36" i="1"/>
  <c r="AW36" i="1"/>
  <c r="AV36" i="1"/>
  <c r="AU36" i="1"/>
  <c r="AT36" i="1"/>
  <c r="AS36" i="1"/>
  <c r="AR36" i="1"/>
  <c r="AQ36" i="1"/>
  <c r="AP36" i="1"/>
  <c r="AF36" i="1"/>
  <c r="AE36" i="1"/>
  <c r="AD36" i="1"/>
  <c r="AC36" i="1"/>
  <c r="AB36" i="1"/>
  <c r="AA36" i="1"/>
  <c r="Z36" i="1"/>
  <c r="Y36" i="1"/>
  <c r="X36" i="1"/>
  <c r="M36" i="1"/>
  <c r="FB36" i="1" l="1"/>
  <c r="CP36" i="1"/>
  <c r="FJ36" i="1"/>
  <c r="FM36" i="1" s="1"/>
  <c r="CG36" i="1"/>
  <c r="FI37" i="1"/>
  <c r="CP37" i="1"/>
  <c r="CG37" i="1"/>
  <c r="FJ37" i="1"/>
  <c r="FL35" i="1"/>
  <c r="FH35" i="1"/>
  <c r="EM35" i="1"/>
  <c r="CN35" i="1"/>
  <c r="CE35" i="1"/>
  <c r="CF35" i="1" s="1"/>
  <c r="AO35" i="1"/>
  <c r="AN35" i="1"/>
  <c r="AM35" i="1"/>
  <c r="AL35" i="1"/>
  <c r="AK35" i="1"/>
  <c r="AJ35" i="1"/>
  <c r="AI35" i="1"/>
  <c r="AH35" i="1"/>
  <c r="AG35" i="1"/>
  <c r="J35" i="1"/>
  <c r="M35" i="1" s="1"/>
  <c r="FM37" i="1" l="1"/>
  <c r="EL35" i="1"/>
  <c r="FI35" i="1"/>
  <c r="FJ35" i="1"/>
  <c r="CP35" i="1"/>
  <c r="CG35" i="1"/>
  <c r="CO35" i="1"/>
  <c r="FK36" i="1"/>
  <c r="CQ36" i="1"/>
  <c r="CH36" i="1"/>
  <c r="CH37" i="1"/>
  <c r="CQ37" i="1"/>
  <c r="FK37" i="1"/>
  <c r="FL32" i="1"/>
  <c r="FJ32" i="1"/>
  <c r="FI32" i="1"/>
  <c r="FH32" i="1"/>
  <c r="CQ32" i="1"/>
  <c r="CP32" i="1"/>
  <c r="CO32" i="1"/>
  <c r="CN32" i="1"/>
  <c r="AF32" i="1"/>
  <c r="AE32" i="1"/>
  <c r="AD32" i="1"/>
  <c r="AC32" i="1"/>
  <c r="AB32" i="1"/>
  <c r="AA32" i="1"/>
  <c r="Z32" i="1"/>
  <c r="Y32" i="1"/>
  <c r="X32" i="1"/>
  <c r="M32" i="1"/>
  <c r="FK32" i="1" l="1"/>
  <c r="FM35" i="1"/>
  <c r="FM32" i="1"/>
  <c r="CH35" i="1"/>
  <c r="CQ35" i="1"/>
  <c r="FK35" i="1"/>
  <c r="FL31" i="1"/>
  <c r="FJ31" i="1"/>
  <c r="FI31" i="1"/>
  <c r="FH31" i="1"/>
  <c r="CQ31" i="1"/>
  <c r="CP31" i="1"/>
  <c r="CO31" i="1"/>
  <c r="CN31" i="1"/>
  <c r="AF31" i="1"/>
  <c r="AE31" i="1"/>
  <c r="AD31" i="1"/>
  <c r="AC31" i="1"/>
  <c r="AB31" i="1"/>
  <c r="AA31" i="1"/>
  <c r="Z31" i="1"/>
  <c r="Y31" i="1"/>
  <c r="X31" i="1"/>
  <c r="M31" i="1"/>
  <c r="FK31" i="1" l="1"/>
  <c r="FM31" i="1"/>
  <c r="FB31" i="1"/>
  <c r="FQ28" i="1"/>
  <c r="FL28" i="1"/>
  <c r="FJ28" i="1"/>
  <c r="FO28" i="1" s="1"/>
  <c r="FI28" i="1"/>
  <c r="FH28" i="1"/>
  <c r="CQ28" i="1"/>
  <c r="CP28" i="1"/>
  <c r="CO28" i="1"/>
  <c r="CN28" i="1"/>
  <c r="AO28" i="1"/>
  <c r="AN28" i="1"/>
  <c r="AM28" i="1"/>
  <c r="AL28" i="1"/>
  <c r="AK28" i="1"/>
  <c r="AJ28" i="1"/>
  <c r="AI28" i="1"/>
  <c r="AH28" i="1"/>
  <c r="AG28" i="1"/>
  <c r="M28" i="1"/>
  <c r="FK28" i="1" l="1"/>
  <c r="FN28" i="1"/>
  <c r="FS28" i="1" s="1"/>
  <c r="FM28" i="1"/>
  <c r="FP28" i="1" s="1"/>
  <c r="FR28" i="1" s="1"/>
  <c r="FL30" i="1"/>
  <c r="FJ30" i="1"/>
  <c r="FI30" i="1"/>
  <c r="FH30" i="1"/>
  <c r="EM30" i="1"/>
  <c r="EL30" i="1"/>
  <c r="CQ30" i="1"/>
  <c r="DA30" i="1" s="1"/>
  <c r="CP30" i="1"/>
  <c r="CZ30" i="1" s="1"/>
  <c r="CO30" i="1"/>
  <c r="CY30" i="1" s="1"/>
  <c r="CN30" i="1"/>
  <c r="CX30" i="1" s="1"/>
  <c r="AF30" i="1"/>
  <c r="AE30" i="1"/>
  <c r="AD30" i="1"/>
  <c r="AC30" i="1"/>
  <c r="AB30" i="1"/>
  <c r="AA30" i="1"/>
  <c r="Z30" i="1"/>
  <c r="Y30" i="1"/>
  <c r="X30" i="1"/>
  <c r="M30" i="1"/>
  <c r="FM30" i="1" l="1"/>
  <c r="FB30" i="1"/>
  <c r="FK30" i="1"/>
  <c r="FL29" i="1"/>
  <c r="FJ29" i="1"/>
  <c r="FI29" i="1"/>
  <c r="FH29" i="1"/>
  <c r="EM29" i="1"/>
  <c r="EL29" i="1"/>
  <c r="CQ29" i="1"/>
  <c r="CP29" i="1"/>
  <c r="CO29" i="1"/>
  <c r="CN29" i="1"/>
  <c r="AF29" i="1"/>
  <c r="AE29" i="1"/>
  <c r="AD29" i="1"/>
  <c r="AC29" i="1"/>
  <c r="AB29" i="1"/>
  <c r="AA29" i="1"/>
  <c r="Z29" i="1"/>
  <c r="Y29" i="1"/>
  <c r="X29" i="1"/>
  <c r="K29" i="1"/>
  <c r="M29" i="1" s="1"/>
  <c r="FK29" i="1" l="1"/>
  <c r="FM29" i="1"/>
  <c r="FB29" i="1"/>
  <c r="FL27" i="1"/>
  <c r="FJ27" i="1"/>
  <c r="FI27" i="1"/>
  <c r="FH27" i="1"/>
  <c r="EM27" i="1"/>
  <c r="EL27" i="1"/>
  <c r="DA27" i="1"/>
  <c r="CZ27" i="1"/>
  <c r="CY27" i="1"/>
  <c r="CX27" i="1"/>
  <c r="CQ27" i="1"/>
  <c r="CP27" i="1"/>
  <c r="CO27" i="1"/>
  <c r="CN27" i="1"/>
  <c r="W27" i="1"/>
  <c r="V27" i="1"/>
  <c r="U27" i="1"/>
  <c r="T27" i="1"/>
  <c r="S27" i="1"/>
  <c r="R27" i="1"/>
  <c r="Q27" i="1"/>
  <c r="P27" i="1"/>
  <c r="O27" i="1"/>
  <c r="M27" i="1"/>
  <c r="FK27" i="1" l="1"/>
  <c r="FM27" i="1"/>
  <c r="FB27" i="1"/>
  <c r="FL51" i="1"/>
  <c r="FJ51" i="1"/>
  <c r="FI51" i="1"/>
  <c r="FH51" i="1"/>
  <c r="CQ51" i="1"/>
  <c r="CP51" i="1"/>
  <c r="CO51" i="1"/>
  <c r="CN51" i="1"/>
  <c r="AO51" i="1"/>
  <c r="AN51" i="1"/>
  <c r="AM51" i="1"/>
  <c r="AL51" i="1"/>
  <c r="AK51" i="1"/>
  <c r="AJ51" i="1"/>
  <c r="AI51" i="1"/>
  <c r="AH51" i="1"/>
  <c r="AG51" i="1"/>
  <c r="M51" i="1"/>
  <c r="EL51" i="1" l="1"/>
  <c r="FK51" i="1"/>
  <c r="FM51" i="1"/>
  <c r="FL50" i="1"/>
  <c r="FJ50" i="1"/>
  <c r="FI50" i="1"/>
  <c r="FH50" i="1"/>
  <c r="AO50" i="1"/>
  <c r="CQ50" i="1" s="1"/>
  <c r="AN50" i="1"/>
  <c r="CP50" i="1" s="1"/>
  <c r="AM50" i="1"/>
  <c r="CO50" i="1" s="1"/>
  <c r="AL50" i="1"/>
  <c r="CN50" i="1" s="1"/>
  <c r="AK50" i="1"/>
  <c r="AJ50" i="1"/>
  <c r="AI50" i="1"/>
  <c r="AH50" i="1"/>
  <c r="AG50" i="1"/>
  <c r="M50" i="1"/>
  <c r="EL50" i="1" l="1"/>
  <c r="FK50" i="1"/>
  <c r="FM50" i="1"/>
  <c r="FL49" i="1"/>
  <c r="FJ49" i="1"/>
  <c r="FI49" i="1"/>
  <c r="FH49" i="1"/>
  <c r="EM49" i="1"/>
  <c r="AO49" i="1"/>
  <c r="DA49" i="1" s="1"/>
  <c r="CQ49" i="1" s="1"/>
  <c r="AN49" i="1"/>
  <c r="CZ49" i="1" s="1"/>
  <c r="CP49" i="1" s="1"/>
  <c r="AM49" i="1"/>
  <c r="CY49" i="1" s="1"/>
  <c r="CO49" i="1" s="1"/>
  <c r="AL49" i="1"/>
  <c r="CX49" i="1" s="1"/>
  <c r="CN49" i="1" s="1"/>
  <c r="AK49" i="1"/>
  <c r="EL49" i="1" s="1"/>
  <c r="AJ49" i="1"/>
  <c r="AI49" i="1"/>
  <c r="AH49" i="1"/>
  <c r="AG49" i="1"/>
  <c r="M49" i="1"/>
  <c r="FK49" i="1" l="1"/>
  <c r="FM49" i="1"/>
  <c r="FL48" i="1"/>
  <c r="FJ48" i="1"/>
  <c r="FI48" i="1"/>
  <c r="FH48" i="1"/>
  <c r="EL48" i="1"/>
  <c r="DA48" i="1"/>
  <c r="CQ48" i="1" s="1"/>
  <c r="CZ48" i="1"/>
  <c r="CP48" i="1" s="1"/>
  <c r="CY48" i="1"/>
  <c r="CO48" i="1" s="1"/>
  <c r="CX48" i="1"/>
  <c r="CN48" i="1" s="1"/>
  <c r="M48" i="1"/>
  <c r="FK48" i="1" l="1"/>
  <c r="FM48" i="1"/>
  <c r="FB48" i="1"/>
  <c r="FL47" i="1"/>
  <c r="FJ47" i="1"/>
  <c r="FI47" i="1"/>
  <c r="FH47" i="1"/>
  <c r="EL47" i="1"/>
  <c r="DA47" i="1"/>
  <c r="CQ47" i="1" s="1"/>
  <c r="CZ47" i="1"/>
  <c r="CP47" i="1" s="1"/>
  <c r="CY47" i="1"/>
  <c r="CO47" i="1" s="1"/>
  <c r="CX47" i="1"/>
  <c r="CN47" i="1" s="1"/>
  <c r="AF47" i="1"/>
  <c r="AE47" i="1"/>
  <c r="AD47" i="1"/>
  <c r="AC47" i="1"/>
  <c r="AB47" i="1"/>
  <c r="AA47" i="1"/>
  <c r="Z47" i="1"/>
  <c r="Y47" i="1"/>
  <c r="X47" i="1"/>
  <c r="M47" i="1"/>
  <c r="FM47" i="1" l="1"/>
  <c r="FK47" i="1"/>
  <c r="FB47" i="1"/>
  <c r="FL24" i="1"/>
  <c r="FJ24" i="1"/>
  <c r="FI24" i="1"/>
  <c r="FH24" i="1"/>
  <c r="BG24" i="1"/>
  <c r="CQ24" i="1" s="1"/>
  <c r="BF24" i="1"/>
  <c r="CP24" i="1" s="1"/>
  <c r="BE24" i="1"/>
  <c r="CO24" i="1" s="1"/>
  <c r="BD24" i="1"/>
  <c r="CN24" i="1" s="1"/>
  <c r="BC24" i="1"/>
  <c r="BB24" i="1"/>
  <c r="BA24" i="1"/>
  <c r="AZ24" i="1"/>
  <c r="AY24" i="1"/>
  <c r="Z24" i="1"/>
  <c r="Y24" i="1"/>
  <c r="X24" i="1"/>
  <c r="M24" i="1"/>
  <c r="EM24" i="1" l="1"/>
  <c r="FK24" i="1"/>
  <c r="FM24" i="1"/>
  <c r="FL22" i="1"/>
  <c r="FJ22" i="1"/>
  <c r="FI22" i="1"/>
  <c r="FH22" i="1"/>
  <c r="BG22" i="1"/>
  <c r="CQ22" i="1" s="1"/>
  <c r="BF22" i="1"/>
  <c r="CP22" i="1" s="1"/>
  <c r="BE22" i="1"/>
  <c r="CO22" i="1" s="1"/>
  <c r="BD22" i="1"/>
  <c r="CN22" i="1" s="1"/>
  <c r="BC22" i="1"/>
  <c r="BB22" i="1"/>
  <c r="BA22" i="1"/>
  <c r="AZ22" i="1"/>
  <c r="AY22" i="1"/>
  <c r="AO22" i="1"/>
  <c r="AN22" i="1"/>
  <c r="AM22" i="1"/>
  <c r="AL22" i="1"/>
  <c r="AK22" i="1"/>
  <c r="AJ22" i="1"/>
  <c r="AI22" i="1"/>
  <c r="AH22" i="1"/>
  <c r="AG22" i="1"/>
  <c r="M22" i="1"/>
  <c r="EM22" i="1" l="1"/>
  <c r="FK22" i="1"/>
  <c r="EL22" i="1"/>
  <c r="FM22" i="1"/>
  <c r="FL23" i="1"/>
  <c r="FJ23" i="1"/>
  <c r="FI23" i="1"/>
  <c r="FH23" i="1"/>
  <c r="BG23" i="1"/>
  <c r="CQ23" i="1" s="1"/>
  <c r="BF23" i="1"/>
  <c r="CP23" i="1" s="1"/>
  <c r="BE23" i="1"/>
  <c r="CO23" i="1" s="1"/>
  <c r="BD23" i="1"/>
  <c r="CN23" i="1" s="1"/>
  <c r="BC23" i="1"/>
  <c r="BB23" i="1"/>
  <c r="BA23" i="1"/>
  <c r="AZ23" i="1"/>
  <c r="AY23" i="1"/>
  <c r="AO23" i="1"/>
  <c r="AN23" i="1"/>
  <c r="AM23" i="1"/>
  <c r="AL23" i="1"/>
  <c r="AK23" i="1"/>
  <c r="AJ23" i="1"/>
  <c r="AI23" i="1"/>
  <c r="AH23" i="1"/>
  <c r="AG23" i="1"/>
  <c r="M23" i="1"/>
  <c r="EM23" i="1" l="1"/>
  <c r="FM23" i="1"/>
  <c r="FK23" i="1"/>
  <c r="EL23" i="1"/>
  <c r="FL21" i="1"/>
  <c r="FJ21" i="1"/>
  <c r="FI21" i="1"/>
  <c r="FH21" i="1"/>
  <c r="BG21" i="1"/>
  <c r="CQ21" i="1" s="1"/>
  <c r="BF21" i="1"/>
  <c r="CP21" i="1" s="1"/>
  <c r="BE21" i="1"/>
  <c r="CO21" i="1" s="1"/>
  <c r="BD21" i="1"/>
  <c r="CN21" i="1" s="1"/>
  <c r="BC21" i="1"/>
  <c r="BB21" i="1"/>
  <c r="BA21" i="1"/>
  <c r="AZ21" i="1"/>
  <c r="AY21" i="1"/>
  <c r="AO21" i="1"/>
  <c r="AF24" i="1" s="1"/>
  <c r="AN21" i="1"/>
  <c r="AE24" i="1" s="1"/>
  <c r="AM21" i="1"/>
  <c r="AD24" i="1" s="1"/>
  <c r="AL21" i="1"/>
  <c r="AC24" i="1" s="1"/>
  <c r="AK21" i="1"/>
  <c r="AJ21" i="1"/>
  <c r="AA24" i="1" s="1"/>
  <c r="AI21" i="1"/>
  <c r="AH21" i="1"/>
  <c r="AG21" i="1"/>
  <c r="M21" i="1"/>
  <c r="EM21" i="1" l="1"/>
  <c r="EL24" i="1"/>
  <c r="AB24" i="1"/>
  <c r="FK21" i="1"/>
  <c r="EL21" i="1"/>
  <c r="FM21" i="1"/>
  <c r="FL18" i="1"/>
  <c r="FJ18" i="1"/>
  <c r="FI18" i="1"/>
  <c r="FH18" i="1"/>
  <c r="BG18" i="1"/>
  <c r="CQ18" i="1" s="1"/>
  <c r="BF18" i="1"/>
  <c r="CP18" i="1" s="1"/>
  <c r="BE18" i="1"/>
  <c r="CO18" i="1" s="1"/>
  <c r="BD18" i="1"/>
  <c r="CN18" i="1" s="1"/>
  <c r="BC18" i="1"/>
  <c r="BB18" i="1"/>
  <c r="BA18" i="1"/>
  <c r="AZ18" i="1"/>
  <c r="AY18" i="1"/>
  <c r="AO18" i="1"/>
  <c r="AN18" i="1"/>
  <c r="AM18" i="1"/>
  <c r="AL18" i="1"/>
  <c r="AK18" i="1"/>
  <c r="AJ18" i="1"/>
  <c r="AI18" i="1"/>
  <c r="AH18" i="1"/>
  <c r="AG18" i="1"/>
  <c r="K18" i="1"/>
  <c r="M18" i="1" s="1"/>
  <c r="EM18" i="1" l="1"/>
  <c r="FK18" i="1"/>
  <c r="EL18" i="1"/>
  <c r="FM18" i="1"/>
  <c r="FL20" i="1"/>
  <c r="FJ20" i="1"/>
  <c r="FI20" i="1"/>
  <c r="FH20" i="1"/>
  <c r="CQ20" i="1"/>
  <c r="CP20" i="1"/>
  <c r="CO20" i="1"/>
  <c r="CN20" i="1"/>
  <c r="EM20" i="1"/>
  <c r="BB20" i="1"/>
  <c r="BA20" i="1"/>
  <c r="AZ20" i="1"/>
  <c r="AY20" i="1"/>
  <c r="AO20" i="1"/>
  <c r="AN20" i="1"/>
  <c r="AM20" i="1"/>
  <c r="AL20" i="1"/>
  <c r="AK20" i="1"/>
  <c r="AJ20" i="1"/>
  <c r="AI20" i="1"/>
  <c r="AH20" i="1"/>
  <c r="AG20" i="1"/>
  <c r="M20" i="1"/>
  <c r="FM20" i="1" l="1"/>
  <c r="FK20" i="1"/>
  <c r="EL20" i="1"/>
  <c r="FL19" i="1"/>
  <c r="FJ19" i="1"/>
  <c r="FI19" i="1"/>
  <c r="FH19" i="1"/>
  <c r="CQ19" i="1"/>
  <c r="CP19" i="1"/>
  <c r="CO19" i="1"/>
  <c r="CN19" i="1"/>
  <c r="EM19" i="1"/>
  <c r="AO19" i="1"/>
  <c r="AN19" i="1"/>
  <c r="AM19" i="1"/>
  <c r="AL19" i="1"/>
  <c r="AK19" i="1"/>
  <c r="AJ19" i="1"/>
  <c r="AI19" i="1"/>
  <c r="AH19" i="1"/>
  <c r="AG19" i="1"/>
  <c r="M19" i="1"/>
  <c r="FK19" i="1" l="1"/>
  <c r="EL19" i="1"/>
  <c r="FM19" i="1"/>
  <c r="EL12" i="1"/>
  <c r="BG12" i="1"/>
  <c r="CQ12" i="1" s="1"/>
  <c r="BF12" i="1"/>
  <c r="BE12" i="1"/>
  <c r="CO12" i="1" s="1"/>
  <c r="BD12" i="1"/>
  <c r="CN12" i="1" s="1"/>
  <c r="BC12" i="1"/>
  <c r="BB12" i="1"/>
  <c r="BA12" i="1"/>
  <c r="AZ12" i="1"/>
  <c r="AY12" i="1"/>
  <c r="AF12" i="1"/>
  <c r="AE12" i="1"/>
  <c r="AD12" i="1"/>
  <c r="AC12" i="1"/>
  <c r="AB12" i="1"/>
  <c r="AA12" i="1"/>
  <c r="Z12" i="1"/>
  <c r="Y12" i="1"/>
  <c r="X12" i="1"/>
  <c r="M12" i="1"/>
  <c r="EM12" i="1" l="1"/>
  <c r="CP12" i="1"/>
  <c r="FL15" i="1"/>
  <c r="FJ15" i="1"/>
  <c r="FI15" i="1"/>
  <c r="FH15" i="1"/>
  <c r="BG15" i="1"/>
  <c r="CQ15" i="1" s="1"/>
  <c r="BF15" i="1"/>
  <c r="CP15" i="1" s="1"/>
  <c r="BE15" i="1"/>
  <c r="CO15" i="1" s="1"/>
  <c r="BD15" i="1"/>
  <c r="CN15" i="1" s="1"/>
  <c r="BC15" i="1"/>
  <c r="BB15" i="1"/>
  <c r="BA15" i="1"/>
  <c r="AZ15" i="1"/>
  <c r="AY15" i="1"/>
  <c r="AO15" i="1"/>
  <c r="AN15" i="1"/>
  <c r="AM15" i="1"/>
  <c r="AL15" i="1"/>
  <c r="AK15" i="1"/>
  <c r="AJ15" i="1"/>
  <c r="AI15" i="1"/>
  <c r="AH15" i="1"/>
  <c r="AG15" i="1"/>
  <c r="M15" i="1"/>
  <c r="EM15" i="1" l="1"/>
  <c r="EL15" i="1"/>
  <c r="FK15" i="1"/>
  <c r="FM15" i="1"/>
  <c r="FL13" i="1"/>
  <c r="FJ13" i="1"/>
  <c r="FI13" i="1"/>
  <c r="FH13" i="1"/>
  <c r="FE13" i="1"/>
  <c r="FD13" i="1"/>
  <c r="FC13" i="1"/>
  <c r="FB13" i="1"/>
  <c r="EM13" i="1"/>
  <c r="EL13" i="1"/>
  <c r="CQ13" i="1"/>
  <c r="CP13" i="1"/>
  <c r="CO13" i="1"/>
  <c r="CN13" i="1"/>
  <c r="AF13" i="1"/>
  <c r="AE13" i="1"/>
  <c r="AD13" i="1"/>
  <c r="AC13" i="1"/>
  <c r="AB13" i="1"/>
  <c r="AA13" i="1"/>
  <c r="Z13" i="1"/>
  <c r="Y13" i="1"/>
  <c r="X13" i="1"/>
  <c r="M13" i="1"/>
  <c r="FK13" i="1" l="1"/>
  <c r="FM13" i="1"/>
  <c r="FL14" i="1"/>
  <c r="FJ14" i="1"/>
  <c r="FI14" i="1"/>
  <c r="FH14" i="1"/>
  <c r="EM14" i="1"/>
  <c r="EL14" i="1"/>
  <c r="CQ14" i="1"/>
  <c r="CP14" i="1"/>
  <c r="CO14" i="1"/>
  <c r="CN14" i="1"/>
  <c r="AF14" i="1"/>
  <c r="AE14" i="1"/>
  <c r="AD14" i="1"/>
  <c r="AC14" i="1"/>
  <c r="AB14" i="1"/>
  <c r="AA14" i="1"/>
  <c r="Z14" i="1"/>
  <c r="Y14" i="1"/>
  <c r="X14" i="1"/>
  <c r="M14" i="1"/>
  <c r="FK14" i="1" l="1"/>
  <c r="FM14" i="1"/>
  <c r="EM10" i="1"/>
  <c r="CQ10" i="1"/>
  <c r="CP10" i="1"/>
  <c r="CO10" i="1"/>
  <c r="CN10" i="1"/>
  <c r="AO10" i="1"/>
  <c r="AN10" i="1"/>
  <c r="AM10" i="1"/>
  <c r="AL10" i="1"/>
  <c r="AK10" i="1"/>
  <c r="AJ10" i="1"/>
  <c r="AI10" i="1"/>
  <c r="AH10" i="1"/>
  <c r="AG10" i="1"/>
  <c r="M10" i="1"/>
  <c r="EL10" i="1" l="1"/>
  <c r="FL11" i="1"/>
  <c r="FJ11" i="1"/>
  <c r="FI11" i="1"/>
  <c r="FH11" i="1"/>
  <c r="FE11" i="1"/>
  <c r="FD11" i="1"/>
  <c r="FC11" i="1"/>
  <c r="FB11" i="1"/>
  <c r="EM11" i="1"/>
  <c r="EL11" i="1"/>
  <c r="CQ11" i="1"/>
  <c r="CP11" i="1"/>
  <c r="CO11" i="1"/>
  <c r="CN11" i="1"/>
  <c r="AF11" i="1"/>
  <c r="AE11" i="1"/>
  <c r="AD11" i="1"/>
  <c r="AC11" i="1"/>
  <c r="AB11" i="1"/>
  <c r="AA11" i="1"/>
  <c r="Z11" i="1"/>
  <c r="Y11" i="1"/>
  <c r="X11" i="1"/>
  <c r="M11" i="1"/>
  <c r="FK11" i="1" l="1"/>
  <c r="FM11" i="1"/>
  <c r="FL8" i="1"/>
  <c r="FH8" i="1"/>
  <c r="CE8" i="1"/>
  <c r="CF8" i="1" s="1"/>
  <c r="BG8" i="1"/>
  <c r="BF8" i="1"/>
  <c r="BE8" i="1"/>
  <c r="BD8" i="1"/>
  <c r="CN8" i="1" s="1"/>
  <c r="BC8" i="1"/>
  <c r="BB8" i="1"/>
  <c r="BA8" i="1"/>
  <c r="AZ8" i="1"/>
  <c r="AY8" i="1"/>
  <c r="AJ8" i="1"/>
  <c r="AI8" i="1"/>
  <c r="AH8" i="1"/>
  <c r="AG8" i="1"/>
  <c r="AB8" i="1"/>
  <c r="AC8" i="1" s="1"/>
  <c r="K8" i="1"/>
  <c r="M8" i="1" s="1"/>
  <c r="EM8" i="1" l="1"/>
  <c r="AL8" i="1"/>
  <c r="AD8" i="1"/>
  <c r="CP8" i="1"/>
  <c r="FJ8" i="1"/>
  <c r="CG8" i="1"/>
  <c r="FI8" i="1"/>
  <c r="CO8" i="1"/>
  <c r="AK8" i="1"/>
  <c r="FL9" i="1"/>
  <c r="FJ9" i="1"/>
  <c r="FI9" i="1"/>
  <c r="FH9" i="1"/>
  <c r="EL9" i="1"/>
  <c r="BG9" i="1"/>
  <c r="CQ9" i="1" s="1"/>
  <c r="BF9" i="1"/>
  <c r="CP9" i="1" s="1"/>
  <c r="BE9" i="1"/>
  <c r="CO9" i="1" s="1"/>
  <c r="BD9" i="1"/>
  <c r="CN9" i="1" s="1"/>
  <c r="BC9" i="1"/>
  <c r="BB9" i="1"/>
  <c r="BA9" i="1"/>
  <c r="AZ9" i="1"/>
  <c r="AY9" i="1"/>
  <c r="AF9" i="1"/>
  <c r="AE9" i="1"/>
  <c r="AD9" i="1"/>
  <c r="AC9" i="1"/>
  <c r="AB9" i="1"/>
  <c r="AA9" i="1"/>
  <c r="Z9" i="1"/>
  <c r="Y9" i="1"/>
  <c r="X9" i="1"/>
  <c r="K9" i="1"/>
  <c r="M9" i="1" s="1"/>
  <c r="DI9" i="1" s="1"/>
  <c r="FK8" i="1" l="1"/>
  <c r="FK9" i="1"/>
  <c r="EM9" i="1"/>
  <c r="FM9" i="1"/>
  <c r="CY9" i="1"/>
  <c r="DH9" i="1"/>
  <c r="CX9" i="1" s="1"/>
  <c r="DJ9" i="1"/>
  <c r="CZ9" i="1" s="1"/>
  <c r="DK9" i="1"/>
  <c r="DA9" i="1" s="1"/>
  <c r="DL9" i="1"/>
  <c r="FM8" i="1"/>
  <c r="CQ8" i="1"/>
  <c r="CH8" i="1"/>
  <c r="AM8" i="1"/>
  <c r="AE8" i="1"/>
  <c r="FL7" i="1"/>
  <c r="FJ7" i="1"/>
  <c r="FI7" i="1"/>
  <c r="FH7" i="1"/>
  <c r="EM7" i="1"/>
  <c r="EL7" i="1"/>
  <c r="CQ7" i="1"/>
  <c r="DA7" i="1" s="1"/>
  <c r="CP7" i="1"/>
  <c r="CZ7" i="1" s="1"/>
  <c r="CO7" i="1"/>
  <c r="CY7" i="1" s="1"/>
  <c r="CN7" i="1"/>
  <c r="CX7" i="1" s="1"/>
  <c r="AF7" i="1"/>
  <c r="AE7" i="1"/>
  <c r="AD7" i="1"/>
  <c r="AC7" i="1"/>
  <c r="AB7" i="1"/>
  <c r="AA7" i="1"/>
  <c r="Z7" i="1"/>
  <c r="Y7" i="1"/>
  <c r="X7" i="1"/>
  <c r="M7" i="1"/>
  <c r="FK7" i="1" l="1"/>
  <c r="FM7" i="1"/>
  <c r="AN8" i="1"/>
  <c r="EL8" i="1" s="1"/>
  <c r="AF8" i="1"/>
  <c r="AO8" i="1" s="1"/>
  <c r="FC5" i="1"/>
  <c r="FD5" i="1" s="1"/>
  <c r="FE5" i="1" s="1"/>
  <c r="EY5" i="1"/>
  <c r="BM5" i="1"/>
  <c r="BN5" i="1" s="1"/>
  <c r="AZ5" i="1"/>
  <c r="BA5" i="1" s="1"/>
  <c r="BB5" i="1" s="1"/>
  <c r="BC5" i="1" s="1"/>
  <c r="AQ5" i="1"/>
  <c r="AR5" i="1" s="1"/>
  <c r="AS5" i="1" s="1"/>
  <c r="AT5" i="1" s="1"/>
  <c r="AH5" i="1"/>
  <c r="AI5" i="1" s="1"/>
  <c r="AJ5" i="1" s="1"/>
  <c r="AK5" i="1" s="1"/>
  <c r="Y5" i="1"/>
  <c r="Z5" i="1" s="1"/>
  <c r="AA5" i="1" s="1"/>
  <c r="AB5" i="1" s="1"/>
  <c r="P5" i="1"/>
  <c r="Q5" i="1" s="1"/>
  <c r="R5" i="1" s="1"/>
  <c r="S5" i="1" s="1"/>
  <c r="B3" i="1"/>
  <c r="D2" i="1"/>
  <c r="B2" i="1"/>
  <c r="DU1" i="1"/>
  <c r="DV1" i="1" s="1"/>
  <c r="CM1" i="1"/>
  <c r="H21" i="1" a="1"/>
  <c r="H17" i="9" a="1"/>
  <c r="H37" i="1" a="1"/>
  <c r="H44" i="1" a="1"/>
  <c r="H11" i="1" a="1"/>
  <c r="H49" i="1" a="1"/>
  <c r="H10" i="1" a="1"/>
  <c r="H36" i="1" a="1"/>
  <c r="H50" i="1" a="1"/>
  <c r="H35" i="1" a="1"/>
  <c r="H28" i="1" a="1"/>
  <c r="H7" i="1" a="1"/>
  <c r="H47" i="1" a="1"/>
  <c r="H22" i="1" a="1"/>
  <c r="H51" i="1" a="1"/>
  <c r="H18" i="9" a="1"/>
  <c r="H48" i="1" a="1"/>
  <c r="H18" i="1" a="1"/>
  <c r="H43" i="1" a="1"/>
  <c r="H32" i="1" a="1"/>
  <c r="H15" i="1" a="1"/>
  <c r="H19" i="1" a="1"/>
  <c r="H12" i="1" a="1"/>
  <c r="H23" i="1" a="1"/>
  <c r="H42" i="1" a="1"/>
  <c r="H31" i="1" a="1"/>
  <c r="H19" i="9" a="1"/>
  <c r="H13" i="1" a="1"/>
  <c r="H30" i="1" a="1"/>
  <c r="H41" i="1" a="1"/>
  <c r="H8" i="1" a="1"/>
  <c r="H20" i="1" a="1"/>
  <c r="H9" i="1" a="1"/>
  <c r="H29" i="1" a="1"/>
  <c r="H27" i="1" a="1"/>
  <c r="H14" i="1" a="1"/>
  <c r="H24" i="1" a="1"/>
  <c r="H40" i="1" a="1"/>
  <c r="H40" i="1" l="1"/>
  <c r="H24" i="1"/>
  <c r="H14" i="1"/>
  <c r="H27" i="1"/>
  <c r="H29" i="1"/>
  <c r="H9" i="1"/>
  <c r="H20" i="1"/>
  <c r="H8" i="1"/>
  <c r="H41" i="1"/>
  <c r="H30" i="1"/>
  <c r="H13" i="1"/>
  <c r="H19" i="9"/>
  <c r="H31" i="1"/>
  <c r="H42" i="1"/>
  <c r="H23" i="1"/>
  <c r="H12" i="1"/>
  <c r="H19" i="1"/>
  <c r="H15" i="1"/>
  <c r="H32" i="1"/>
  <c r="H43" i="1"/>
  <c r="H18" i="1"/>
  <c r="H48" i="1"/>
  <c r="H18" i="9"/>
  <c r="H51" i="1"/>
  <c r="H22" i="1"/>
  <c r="H47" i="1"/>
  <c r="H7" i="1"/>
  <c r="H28" i="1"/>
  <c r="H35" i="1"/>
  <c r="H50" i="1"/>
  <c r="H36" i="1"/>
  <c r="H10" i="1"/>
  <c r="H49" i="1"/>
  <c r="H11" i="1"/>
  <c r="H44" i="1"/>
  <c r="H37" i="1"/>
  <c r="H17" i="9"/>
  <c r="H21" i="1"/>
  <c r="N7" i="1"/>
  <c r="EZ5" i="1"/>
  <c r="DU2" i="1"/>
  <c r="DW1" i="1"/>
  <c r="DW2" i="1" s="1"/>
  <c r="DV2" i="1"/>
  <c r="DT2" i="1"/>
  <c r="D4" i="1"/>
  <c r="EY29" i="1" a="1"/>
  <c r="EY27" i="1" a="1"/>
  <c r="EY31" i="1" a="1"/>
  <c r="EY30" i="1" a="1"/>
  <c r="EY47" i="1" a="1"/>
  <c r="EY48" i="1" a="1"/>
  <c r="EY36" i="1" a="1"/>
  <c r="EY36" i="1" l="1"/>
  <c r="FC36" i="1" s="1"/>
  <c r="EY48" i="1"/>
  <c r="FC48" i="1" s="1"/>
  <c r="EY47" i="1"/>
  <c r="FC47" i="1" s="1"/>
  <c r="EY30" i="1"/>
  <c r="FC30" i="1" s="1"/>
  <c r="EY31" i="1"/>
  <c r="FC31" i="1" s="1"/>
  <c r="EY27" i="1"/>
  <c r="FC27" i="1" s="1"/>
  <c r="EY29" i="1"/>
  <c r="FC29" i="1" s="1"/>
  <c r="FA5" i="1"/>
  <c r="DU22" i="1"/>
  <c r="DU48" i="1"/>
  <c r="DU24" i="1"/>
  <c r="DU51" i="1"/>
  <c r="DU30" i="1"/>
  <c r="DU36" i="1"/>
  <c r="DU10" i="1"/>
  <c r="DU13" i="1"/>
  <c r="DU15" i="1"/>
  <c r="DU12" i="1"/>
  <c r="DU19" i="1"/>
  <c r="DU37" i="1"/>
  <c r="DU42" i="1"/>
  <c r="DU11" i="1"/>
  <c r="DU31" i="1"/>
  <c r="DU40" i="1"/>
  <c r="DU41" i="1"/>
  <c r="BO7" i="1"/>
  <c r="BN7" i="1"/>
  <c r="BM7" i="1"/>
  <c r="BL7" i="1"/>
  <c r="BK7" i="1"/>
  <c r="BJ7" i="1"/>
  <c r="BI7" i="1"/>
  <c r="BH7" i="1"/>
  <c r="BS7" i="1"/>
  <c r="BQ7" i="1"/>
  <c r="BP7" i="1"/>
  <c r="BR7" i="1"/>
  <c r="DU20" i="1"/>
  <c r="DU44" i="1"/>
  <c r="CC49" i="1"/>
  <c r="BV49" i="1"/>
  <c r="EQ49" i="1"/>
  <c r="BZ49" i="1"/>
  <c r="EU49" i="1" s="1"/>
  <c r="BW49" i="1"/>
  <c r="BU49" i="1"/>
  <c r="CB49" i="1"/>
  <c r="CA49" i="1"/>
  <c r="BX49" i="1"/>
  <c r="BT49" i="1"/>
  <c r="N49" i="1"/>
  <c r="DY49" i="1"/>
  <c r="DX49" i="1"/>
  <c r="DZ49" i="1"/>
  <c r="EA49" i="1"/>
  <c r="DU21" i="1"/>
  <c r="DU43" i="1"/>
  <c r="CC50" i="1"/>
  <c r="CB50" i="1"/>
  <c r="BX50" i="1"/>
  <c r="EQ50" i="1"/>
  <c r="BZ50" i="1"/>
  <c r="EU50" i="1" s="1"/>
  <c r="BW50" i="1"/>
  <c r="BU50" i="1"/>
  <c r="N50" i="1"/>
  <c r="CA50" i="1"/>
  <c r="BV50" i="1"/>
  <c r="BT50" i="1"/>
  <c r="DY50" i="1"/>
  <c r="DZ50" i="1"/>
  <c r="DX50" i="1"/>
  <c r="EA50" i="1"/>
  <c r="DV43" i="1"/>
  <c r="EK43" i="1" s="1"/>
  <c r="DV44" i="1"/>
  <c r="EK44" i="1" s="1"/>
  <c r="DV41" i="1"/>
  <c r="EK41" i="1" s="1"/>
  <c r="DV40" i="1"/>
  <c r="EK40" i="1" s="1"/>
  <c r="DV42" i="1"/>
  <c r="EK42" i="1" s="1"/>
  <c r="DV37" i="1"/>
  <c r="EK37" i="1" s="1"/>
  <c r="DV36" i="1"/>
  <c r="EK36" i="1" s="1"/>
  <c r="DV35" i="1"/>
  <c r="EK35" i="1" s="1"/>
  <c r="DV32" i="1"/>
  <c r="EK32" i="1" s="1"/>
  <c r="DV31" i="1"/>
  <c r="EK31" i="1" s="1"/>
  <c r="DV28" i="1"/>
  <c r="DV30" i="1"/>
  <c r="EK30" i="1" s="1"/>
  <c r="DV29" i="1"/>
  <c r="EK29" i="1" s="1"/>
  <c r="DV27" i="1"/>
  <c r="EK27" i="1" s="1"/>
  <c r="DV51" i="1"/>
  <c r="EK51" i="1" s="1"/>
  <c r="DV50" i="1"/>
  <c r="EK50" i="1" s="1"/>
  <c r="DV49" i="1"/>
  <c r="EK49" i="1" s="1"/>
  <c r="DV48" i="1"/>
  <c r="EK48" i="1" s="1"/>
  <c r="DV47" i="1"/>
  <c r="EK47" i="1" s="1"/>
  <c r="DV24" i="1"/>
  <c r="EK24" i="1" s="1"/>
  <c r="DV22" i="1"/>
  <c r="EK22" i="1" s="1"/>
  <c r="DV23" i="1"/>
  <c r="EK23" i="1" s="1"/>
  <c r="DV21" i="1"/>
  <c r="EK21" i="1" s="1"/>
  <c r="DV18" i="1"/>
  <c r="EK18" i="1" s="1"/>
  <c r="DV20" i="1"/>
  <c r="EK20" i="1" s="1"/>
  <c r="DV19" i="1"/>
  <c r="EK19" i="1" s="1"/>
  <c r="DV12" i="1"/>
  <c r="EK12" i="1" s="1"/>
  <c r="DV15" i="1"/>
  <c r="EK15" i="1" s="1"/>
  <c r="DV13" i="1"/>
  <c r="EK13" i="1" s="1"/>
  <c r="DV14" i="1"/>
  <c r="EK14" i="1" s="1"/>
  <c r="DV10" i="1"/>
  <c r="EK10" i="1" s="1"/>
  <c r="DV11" i="1"/>
  <c r="EK11" i="1" s="1"/>
  <c r="DV8" i="1"/>
  <c r="EK8" i="1" s="1"/>
  <c r="DV9" i="1"/>
  <c r="EK9" i="1" s="1"/>
  <c r="DV7" i="1"/>
  <c r="EK7" i="1" s="1"/>
  <c r="DW43" i="1"/>
  <c r="DW44" i="1"/>
  <c r="DW41" i="1"/>
  <c r="DW40" i="1"/>
  <c r="DW42" i="1"/>
  <c r="DW37" i="1"/>
  <c r="DW36" i="1"/>
  <c r="DW35" i="1"/>
  <c r="DW32" i="1"/>
  <c r="DW31" i="1"/>
  <c r="DW28" i="1"/>
  <c r="DW30" i="1"/>
  <c r="DW29" i="1"/>
  <c r="DW27" i="1"/>
  <c r="DW51" i="1"/>
  <c r="DW50" i="1"/>
  <c r="DW49" i="1"/>
  <c r="DW48" i="1"/>
  <c r="DW47" i="1"/>
  <c r="DW24" i="1"/>
  <c r="DW22" i="1"/>
  <c r="DW23" i="1"/>
  <c r="DW21" i="1"/>
  <c r="DW18" i="1"/>
  <c r="DW20" i="1"/>
  <c r="DW19" i="1"/>
  <c r="DW12" i="1"/>
  <c r="DW15" i="1"/>
  <c r="DW13" i="1"/>
  <c r="DW14" i="1"/>
  <c r="DW10" i="1"/>
  <c r="DW11" i="1"/>
  <c r="DW8" i="1"/>
  <c r="DW9" i="1"/>
  <c r="DW7" i="1"/>
  <c r="DX27" i="1"/>
  <c r="N27" i="1"/>
  <c r="BY27" i="1"/>
  <c r="BX27" i="1"/>
  <c r="BU27" i="1"/>
  <c r="EQ27" i="1"/>
  <c r="BW27" i="1"/>
  <c r="DZ27" i="1"/>
  <c r="DY27" i="1"/>
  <c r="CC27" i="1"/>
  <c r="CB27" i="1"/>
  <c r="CA27" i="1"/>
  <c r="BZ27" i="1"/>
  <c r="EA27" i="1"/>
  <c r="BV27" i="1"/>
  <c r="CA23" i="1"/>
  <c r="BY23" i="1"/>
  <c r="EQ23" i="1"/>
  <c r="N23" i="1"/>
  <c r="CC23" i="1"/>
  <c r="CB23" i="1"/>
  <c r="BZ23" i="1"/>
  <c r="BX23" i="1"/>
  <c r="BW23" i="1"/>
  <c r="BU23" i="1"/>
  <c r="BV23" i="1"/>
  <c r="BT23" i="1"/>
  <c r="DY23" i="1"/>
  <c r="DX23" i="1"/>
  <c r="DZ23" i="1"/>
  <c r="EA23" i="1"/>
  <c r="EQ22" i="1"/>
  <c r="N22" i="1"/>
  <c r="CB22" i="1"/>
  <c r="CA22" i="1"/>
  <c r="BY22" i="1"/>
  <c r="BX22" i="1"/>
  <c r="CC22" i="1"/>
  <c r="BU22" i="1"/>
  <c r="BZ22" i="1"/>
  <c r="BW22" i="1"/>
  <c r="BV22" i="1"/>
  <c r="BT22" i="1"/>
  <c r="DY22" i="1"/>
  <c r="EA22" i="1"/>
  <c r="DZ22" i="1"/>
  <c r="DX22" i="1"/>
  <c r="CC48" i="1"/>
  <c r="BV48" i="1"/>
  <c r="BU48" i="1"/>
  <c r="CB48" i="1"/>
  <c r="CA48" i="1"/>
  <c r="BZ48" i="1"/>
  <c r="EU48" i="1" s="1"/>
  <c r="BX48" i="1"/>
  <c r="BW48" i="1"/>
  <c r="BT48" i="1"/>
  <c r="EQ48" i="1"/>
  <c r="N48" i="1"/>
  <c r="EA48" i="1"/>
  <c r="DX48" i="1"/>
  <c r="DZ48" i="1"/>
  <c r="DY48" i="1"/>
  <c r="DU23" i="1"/>
  <c r="BZ29" i="1"/>
  <c r="BX29" i="1"/>
  <c r="N29" i="1"/>
  <c r="CA29" i="1"/>
  <c r="BY29" i="1"/>
  <c r="EQ29" i="1"/>
  <c r="BW29" i="1"/>
  <c r="BV29" i="1"/>
  <c r="BU29" i="1"/>
  <c r="BT29" i="1"/>
  <c r="CC29" i="1"/>
  <c r="CB29" i="1"/>
  <c r="DY29" i="1"/>
  <c r="DZ29" i="1"/>
  <c r="DX29" i="1"/>
  <c r="EA29" i="1"/>
  <c r="CC9" i="1"/>
  <c r="CB9" i="1"/>
  <c r="BZ9" i="1"/>
  <c r="BV9" i="1"/>
  <c r="BU9" i="1"/>
  <c r="BT9" i="1"/>
  <c r="CA9" i="1"/>
  <c r="BY9" i="1"/>
  <c r="EQ9" i="1"/>
  <c r="BX9" i="1"/>
  <c r="BW9" i="1"/>
  <c r="N9" i="1"/>
  <c r="EA9" i="1"/>
  <c r="DZ9" i="1"/>
  <c r="DX9" i="1"/>
  <c r="DY9" i="1"/>
  <c r="DU50" i="1"/>
  <c r="BT10" i="1"/>
  <c r="N10" i="1"/>
  <c r="EQ10" i="1"/>
  <c r="BZ10" i="1"/>
  <c r="BX10" i="1"/>
  <c r="BW10" i="1"/>
  <c r="CC10" i="1"/>
  <c r="CB10" i="1"/>
  <c r="CA10" i="1"/>
  <c r="BY10" i="1"/>
  <c r="BV10" i="1"/>
  <c r="BU10" i="1"/>
  <c r="DY10" i="1"/>
  <c r="EA10" i="1"/>
  <c r="DX10" i="1"/>
  <c r="DZ10" i="1"/>
  <c r="BW32" i="1"/>
  <c r="BX32" i="1"/>
  <c r="BV32" i="1"/>
  <c r="BT32" i="1"/>
  <c r="EQ32" i="1"/>
  <c r="CA32" i="1"/>
  <c r="BU32" i="1"/>
  <c r="CC32" i="1"/>
  <c r="CB32" i="1"/>
  <c r="BZ32" i="1"/>
  <c r="BY32" i="1"/>
  <c r="EA32" i="1"/>
  <c r="DZ32" i="1"/>
  <c r="DX32" i="1"/>
  <c r="DY32" i="1"/>
  <c r="N32" i="1"/>
  <c r="CC47" i="1"/>
  <c r="N47" i="1"/>
  <c r="CB47" i="1"/>
  <c r="BZ47" i="1"/>
  <c r="EU47" i="1" s="1"/>
  <c r="EQ47" i="1"/>
  <c r="CA47" i="1"/>
  <c r="DZ47" i="1"/>
  <c r="EA47" i="1"/>
  <c r="DY47" i="1"/>
  <c r="DX47" i="1"/>
  <c r="DU18" i="1"/>
  <c r="DU47" i="1"/>
  <c r="EQ14" i="1"/>
  <c r="CB14" i="1"/>
  <c r="BZ14" i="1"/>
  <c r="BY14" i="1"/>
  <c r="BU14" i="1"/>
  <c r="N14" i="1"/>
  <c r="CC14" i="1"/>
  <c r="CA14" i="1"/>
  <c r="BX14" i="1"/>
  <c r="BV14" i="1"/>
  <c r="EA14" i="1"/>
  <c r="DZ14" i="1"/>
  <c r="BW14" i="1"/>
  <c r="BT14" i="1"/>
  <c r="DY14" i="1"/>
  <c r="DX14" i="1"/>
  <c r="BZ35" i="1"/>
  <c r="BY35" i="1"/>
  <c r="EQ35" i="1"/>
  <c r="BW35" i="1"/>
  <c r="BU35" i="1"/>
  <c r="CC35" i="1"/>
  <c r="BX35" i="1"/>
  <c r="BV35" i="1"/>
  <c r="BT35" i="1"/>
  <c r="N35" i="1"/>
  <c r="CA35" i="1"/>
  <c r="CB35" i="1"/>
  <c r="DX35" i="1"/>
  <c r="DY35" i="1"/>
  <c r="DZ35" i="1"/>
  <c r="EA35" i="1"/>
  <c r="BV13" i="1"/>
  <c r="BT13" i="1"/>
  <c r="N13" i="1"/>
  <c r="EQ13" i="1"/>
  <c r="BY13" i="1"/>
  <c r="BU13" i="1"/>
  <c r="CA13" i="1"/>
  <c r="CC13" i="1"/>
  <c r="BZ13" i="1"/>
  <c r="BW13" i="1"/>
  <c r="CB13" i="1"/>
  <c r="BX13" i="1"/>
  <c r="DZ13" i="1"/>
  <c r="DX13" i="1"/>
  <c r="DY13" i="1"/>
  <c r="EA13" i="1"/>
  <c r="CB36" i="1"/>
  <c r="CA36" i="1"/>
  <c r="BZ36" i="1"/>
  <c r="BY36" i="1"/>
  <c r="EQ36" i="1"/>
  <c r="CC36" i="1"/>
  <c r="N36" i="1"/>
  <c r="DX36" i="1"/>
  <c r="DY36" i="1"/>
  <c r="DZ36" i="1"/>
  <c r="EA36" i="1"/>
  <c r="CA28" i="1"/>
  <c r="BZ28" i="1"/>
  <c r="BY28" i="1"/>
  <c r="BX28" i="1"/>
  <c r="N28" i="1"/>
  <c r="EQ28" i="1"/>
  <c r="BW28" i="1"/>
  <c r="BV28" i="1"/>
  <c r="BU28" i="1"/>
  <c r="CC28" i="1"/>
  <c r="BT28" i="1"/>
  <c r="CB28" i="1"/>
  <c r="DX28" i="1"/>
  <c r="DY28" i="1"/>
  <c r="DZ28" i="1"/>
  <c r="EA28" i="1"/>
  <c r="CA15" i="1"/>
  <c r="BX15" i="1"/>
  <c r="BW15" i="1"/>
  <c r="N15" i="1"/>
  <c r="CC15" i="1"/>
  <c r="CB15" i="1"/>
  <c r="BV15" i="1"/>
  <c r="EQ15" i="1"/>
  <c r="BY15" i="1"/>
  <c r="BU15" i="1"/>
  <c r="BZ15" i="1"/>
  <c r="BT15" i="1"/>
  <c r="DY15" i="1"/>
  <c r="DZ15" i="1"/>
  <c r="DX15" i="1"/>
  <c r="EA15" i="1"/>
  <c r="BV37" i="1"/>
  <c r="BU37" i="1"/>
  <c r="N37" i="1"/>
  <c r="CC37" i="1"/>
  <c r="BZ37" i="1"/>
  <c r="BY37" i="1"/>
  <c r="BX37" i="1"/>
  <c r="BW37" i="1"/>
  <c r="EQ37" i="1"/>
  <c r="BT37" i="1"/>
  <c r="CB37" i="1"/>
  <c r="CA37" i="1"/>
  <c r="DX37" i="1"/>
  <c r="DY37" i="1"/>
  <c r="DZ37" i="1"/>
  <c r="EA37" i="1"/>
  <c r="BU8" i="1"/>
  <c r="BT8" i="1"/>
  <c r="EQ8" i="1"/>
  <c r="N8" i="1"/>
  <c r="CA8" i="1"/>
  <c r="CB8" i="1"/>
  <c r="BX8" i="1"/>
  <c r="BZ8" i="1"/>
  <c r="CC8" i="1"/>
  <c r="BW8" i="1"/>
  <c r="BY8" i="1"/>
  <c r="BV8" i="1"/>
  <c r="DX8" i="1"/>
  <c r="DY8" i="1"/>
  <c r="DZ8" i="1"/>
  <c r="EA8" i="1"/>
  <c r="DU9" i="1"/>
  <c r="CA12" i="1"/>
  <c r="BZ12" i="1"/>
  <c r="BX12" i="1"/>
  <c r="BT12" i="1"/>
  <c r="EQ12" i="1"/>
  <c r="BU12" i="1"/>
  <c r="N12" i="1"/>
  <c r="BY12" i="1"/>
  <c r="BW12" i="1"/>
  <c r="BV12" i="1"/>
  <c r="CC12" i="1"/>
  <c r="CB12" i="1"/>
  <c r="EA12" i="1"/>
  <c r="DX12" i="1"/>
  <c r="DY12" i="1"/>
  <c r="DZ12" i="1"/>
  <c r="CC42" i="1"/>
  <c r="CB42" i="1"/>
  <c r="CA42" i="1"/>
  <c r="BZ42" i="1"/>
  <c r="BW42" i="1"/>
  <c r="BT42" i="1"/>
  <c r="EQ42" i="1"/>
  <c r="BY42" i="1"/>
  <c r="BX42" i="1"/>
  <c r="BV42" i="1"/>
  <c r="BU42" i="1"/>
  <c r="N42" i="1"/>
  <c r="DX42" i="1"/>
  <c r="DZ42" i="1"/>
  <c r="EA42" i="1"/>
  <c r="DY42" i="1"/>
  <c r="CC51" i="1"/>
  <c r="BX51" i="1"/>
  <c r="CB51" i="1"/>
  <c r="CA51" i="1"/>
  <c r="BW51" i="1"/>
  <c r="BV51" i="1"/>
  <c r="BU51" i="1"/>
  <c r="BT51" i="1"/>
  <c r="N51" i="1"/>
  <c r="EQ51" i="1"/>
  <c r="DX51" i="1"/>
  <c r="DY51" i="1"/>
  <c r="DZ51" i="1"/>
  <c r="EA51" i="1"/>
  <c r="DU8" i="1"/>
  <c r="DU28" i="1"/>
  <c r="CC19" i="1"/>
  <c r="BY19" i="1"/>
  <c r="EQ19" i="1"/>
  <c r="CB19" i="1"/>
  <c r="CA19" i="1"/>
  <c r="BZ19" i="1"/>
  <c r="N19" i="1"/>
  <c r="BW19" i="1"/>
  <c r="BV19" i="1"/>
  <c r="BT19" i="1"/>
  <c r="BX19" i="1"/>
  <c r="BU19" i="1"/>
  <c r="DZ19" i="1"/>
  <c r="EA19" i="1"/>
  <c r="DX19" i="1"/>
  <c r="DY19" i="1"/>
  <c r="BZ40" i="1"/>
  <c r="BX40" i="1"/>
  <c r="N40" i="1"/>
  <c r="BT40" i="1"/>
  <c r="CC40" i="1"/>
  <c r="CA40" i="1"/>
  <c r="EQ40" i="1"/>
  <c r="CB40" i="1"/>
  <c r="BY40" i="1"/>
  <c r="BW40" i="1"/>
  <c r="BV40" i="1"/>
  <c r="BU40" i="1"/>
  <c r="EA40" i="1"/>
  <c r="DX40" i="1"/>
  <c r="DZ40" i="1"/>
  <c r="DY40" i="1"/>
  <c r="EQ20" i="1"/>
  <c r="CA20" i="1"/>
  <c r="BZ20" i="1"/>
  <c r="BW20" i="1"/>
  <c r="CC20" i="1"/>
  <c r="CB20" i="1"/>
  <c r="BT20" i="1"/>
  <c r="N20" i="1"/>
  <c r="BY20" i="1"/>
  <c r="BX20" i="1"/>
  <c r="BV20" i="1"/>
  <c r="BU20" i="1"/>
  <c r="EA20" i="1"/>
  <c r="DX20" i="1"/>
  <c r="DZ20" i="1"/>
  <c r="DY20" i="1"/>
  <c r="N41" i="1"/>
  <c r="CC41" i="1"/>
  <c r="EQ41" i="1"/>
  <c r="BV41" i="1"/>
  <c r="BU41" i="1"/>
  <c r="CB41" i="1"/>
  <c r="CA41" i="1"/>
  <c r="BY41" i="1"/>
  <c r="BX41" i="1"/>
  <c r="BW41" i="1"/>
  <c r="BT41" i="1"/>
  <c r="BZ41" i="1"/>
  <c r="DX41" i="1"/>
  <c r="DY41" i="1"/>
  <c r="DZ41" i="1"/>
  <c r="EA41" i="1"/>
  <c r="DU49" i="1"/>
  <c r="BU11" i="1"/>
  <c r="CC11" i="1"/>
  <c r="BY11" i="1"/>
  <c r="BW11" i="1"/>
  <c r="BT11" i="1"/>
  <c r="N11" i="1"/>
  <c r="EQ11" i="1"/>
  <c r="CB11" i="1"/>
  <c r="BZ11" i="1"/>
  <c r="BX11" i="1"/>
  <c r="BV11" i="1"/>
  <c r="CA11" i="1"/>
  <c r="DX11" i="1"/>
  <c r="EA11" i="1"/>
  <c r="DY11" i="1"/>
  <c r="DZ11" i="1"/>
  <c r="BW31" i="1"/>
  <c r="DY31" i="1"/>
  <c r="CC31" i="1"/>
  <c r="CA31" i="1"/>
  <c r="BY31" i="1"/>
  <c r="BT31" i="1"/>
  <c r="EA31" i="1"/>
  <c r="DX31" i="1"/>
  <c r="BX31" i="1"/>
  <c r="CB31" i="1"/>
  <c r="BZ31" i="1"/>
  <c r="EQ31" i="1"/>
  <c r="BU31" i="1"/>
  <c r="BV31" i="1"/>
  <c r="DZ31" i="1"/>
  <c r="N31" i="1"/>
  <c r="DU27" i="1"/>
  <c r="DU7" i="1"/>
  <c r="DU29" i="1"/>
  <c r="DU32" i="1"/>
  <c r="BY18" i="1"/>
  <c r="BV18" i="1"/>
  <c r="BT18" i="1"/>
  <c r="CC18" i="1"/>
  <c r="CB18" i="1"/>
  <c r="BX18" i="1"/>
  <c r="BW18" i="1"/>
  <c r="EQ18" i="1"/>
  <c r="CA18" i="1"/>
  <c r="N18" i="1"/>
  <c r="BZ18" i="1"/>
  <c r="BU18" i="1"/>
  <c r="DX18" i="1"/>
  <c r="EA18" i="1"/>
  <c r="DZ18" i="1"/>
  <c r="DY18" i="1"/>
  <c r="EQ44" i="1"/>
  <c r="CC44" i="1"/>
  <c r="N44" i="1"/>
  <c r="CB44" i="1"/>
  <c r="BZ44" i="1"/>
  <c r="BY44" i="1"/>
  <c r="BX44" i="1"/>
  <c r="BW44" i="1"/>
  <c r="BV44" i="1"/>
  <c r="BU44" i="1"/>
  <c r="BT44" i="1"/>
  <c r="EA44" i="1"/>
  <c r="DY44" i="1"/>
  <c r="CA44" i="1"/>
  <c r="DZ44" i="1"/>
  <c r="DX44" i="1"/>
  <c r="CB24" i="1"/>
  <c r="CA24" i="1"/>
  <c r="BZ24" i="1"/>
  <c r="BX24" i="1"/>
  <c r="BT24" i="1"/>
  <c r="BY24" i="1"/>
  <c r="BW24" i="1"/>
  <c r="EQ24" i="1"/>
  <c r="CC24" i="1"/>
  <c r="BU24" i="1"/>
  <c r="BV24" i="1"/>
  <c r="DY24" i="1"/>
  <c r="DX24" i="1"/>
  <c r="EA24" i="1"/>
  <c r="DZ24" i="1"/>
  <c r="N24" i="1"/>
  <c r="ER43" i="1"/>
  <c r="EG43" i="1"/>
  <c r="EE43" i="1"/>
  <c r="DT43" i="1"/>
  <c r="EG44" i="1"/>
  <c r="EE44" i="1"/>
  <c r="DT44" i="1"/>
  <c r="ER44" i="1"/>
  <c r="ER41" i="1"/>
  <c r="EE41" i="1"/>
  <c r="DT41" i="1"/>
  <c r="EG41" i="1"/>
  <c r="ER40" i="1"/>
  <c r="DT40" i="1"/>
  <c r="EG40" i="1"/>
  <c r="EE40" i="1"/>
  <c r="DT42" i="1"/>
  <c r="EG42" i="1"/>
  <c r="EE42" i="1"/>
  <c r="ER42" i="1"/>
  <c r="DT37" i="1"/>
  <c r="EG37" i="1"/>
  <c r="ER37" i="1"/>
  <c r="EE37" i="1"/>
  <c r="EE36" i="1"/>
  <c r="ER36" i="1"/>
  <c r="DT36" i="1"/>
  <c r="EG36" i="1"/>
  <c r="DT35" i="1"/>
  <c r="EG35" i="1"/>
  <c r="EE35" i="1"/>
  <c r="ER35" i="1"/>
  <c r="ER32" i="1"/>
  <c r="DT32" i="1"/>
  <c r="EG32" i="1"/>
  <c r="EE32" i="1"/>
  <c r="EG31" i="1"/>
  <c r="EE31" i="1"/>
  <c r="ER31" i="1"/>
  <c r="DT31" i="1"/>
  <c r="ER28" i="1"/>
  <c r="DT28" i="1"/>
  <c r="ER30" i="1"/>
  <c r="DT30" i="1"/>
  <c r="EG30" i="1"/>
  <c r="EE30" i="1"/>
  <c r="EE29" i="1"/>
  <c r="DT29" i="1"/>
  <c r="EG29" i="1"/>
  <c r="ER29" i="1"/>
  <c r="ER27" i="1"/>
  <c r="DT27" i="1"/>
  <c r="EG27" i="1"/>
  <c r="EE27" i="1"/>
  <c r="EU51" i="1"/>
  <c r="EE51" i="1"/>
  <c r="DT51" i="1"/>
  <c r="ER51" i="1"/>
  <c r="ER50" i="1"/>
  <c r="DT50" i="1"/>
  <c r="EE50" i="1"/>
  <c r="ER49" i="1"/>
  <c r="EE49" i="1"/>
  <c r="DT49" i="1"/>
  <c r="ER48" i="1"/>
  <c r="DT48" i="1"/>
  <c r="EH48" i="1"/>
  <c r="EE48" i="1"/>
  <c r="EE47" i="1"/>
  <c r="EH47" i="1"/>
  <c r="ER47" i="1"/>
  <c r="DT47" i="1"/>
  <c r="ER24" i="1"/>
  <c r="DT24" i="1"/>
  <c r="EG24" i="1"/>
  <c r="EE24" i="1"/>
  <c r="DT22" i="1"/>
  <c r="EE22" i="1"/>
  <c r="EG22" i="1"/>
  <c r="ER22" i="1"/>
  <c r="DT23" i="1"/>
  <c r="ER23" i="1"/>
  <c r="EG23" i="1"/>
  <c r="EE23" i="1"/>
  <c r="ER21" i="1"/>
  <c r="DT21" i="1"/>
  <c r="EG21" i="1"/>
  <c r="EE21" i="1"/>
  <c r="EG18" i="1"/>
  <c r="EE18" i="1"/>
  <c r="ER18" i="1"/>
  <c r="DT18" i="1"/>
  <c r="ER20" i="1"/>
  <c r="EE20" i="1"/>
  <c r="EG20" i="1"/>
  <c r="DT20" i="1"/>
  <c r="ER19" i="1"/>
  <c r="EG19" i="1"/>
  <c r="DT19" i="1"/>
  <c r="EE19" i="1"/>
  <c r="EE12" i="1"/>
  <c r="ER12" i="1"/>
  <c r="DT12" i="1"/>
  <c r="EG12" i="1"/>
  <c r="DT15" i="1"/>
  <c r="EG15" i="1"/>
  <c r="ER15" i="1"/>
  <c r="EE15" i="1"/>
  <c r="EG13" i="1"/>
  <c r="EE13" i="1"/>
  <c r="DT13" i="1"/>
  <c r="ER13" i="1"/>
  <c r="ER14" i="1"/>
  <c r="DT14" i="1"/>
  <c r="EG14" i="1"/>
  <c r="EE14" i="1"/>
  <c r="ER10" i="1"/>
  <c r="DT10" i="1"/>
  <c r="EE10" i="1"/>
  <c r="EG10" i="1"/>
  <c r="DT11" i="1"/>
  <c r="EE11" i="1"/>
  <c r="ER11" i="1"/>
  <c r="EG11" i="1"/>
  <c r="ER8" i="1"/>
  <c r="EG8" i="1"/>
  <c r="EE8" i="1"/>
  <c r="DT8" i="1"/>
  <c r="EG9" i="1"/>
  <c r="ER9" i="1"/>
  <c r="DT9" i="1"/>
  <c r="EE9" i="1"/>
  <c r="EG7" i="1"/>
  <c r="EE7" i="1"/>
  <c r="DT7" i="1"/>
  <c r="ER7" i="1"/>
  <c r="CC7" i="1"/>
  <c r="BZ7" i="1"/>
  <c r="BX7" i="1"/>
  <c r="EA7" i="1"/>
  <c r="BV7" i="1"/>
  <c r="DY7" i="1"/>
  <c r="DX7" i="1"/>
  <c r="EQ7" i="1"/>
  <c r="CB7" i="1"/>
  <c r="CA7" i="1"/>
  <c r="BW7" i="1"/>
  <c r="DZ7" i="1"/>
  <c r="BU7" i="1"/>
  <c r="BT7" i="1"/>
  <c r="BY7" i="1"/>
  <c r="CB30" i="1"/>
  <c r="BW30" i="1"/>
  <c r="DY30" i="1"/>
  <c r="BX30" i="1"/>
  <c r="EA30" i="1"/>
  <c r="BV30" i="1"/>
  <c r="DX30" i="1"/>
  <c r="EQ30" i="1"/>
  <c r="CC30" i="1"/>
  <c r="CA30" i="1"/>
  <c r="BZ30" i="1"/>
  <c r="BY30" i="1"/>
  <c r="BU30" i="1"/>
  <c r="BT30" i="1"/>
  <c r="DZ30" i="1"/>
  <c r="N30" i="1"/>
  <c r="DU14" i="1"/>
  <c r="DU35" i="1"/>
  <c r="N21" i="1"/>
  <c r="BZ21" i="1"/>
  <c r="BU21" i="1"/>
  <c r="CC21" i="1"/>
  <c r="CB21" i="1"/>
  <c r="BX21" i="1"/>
  <c r="EQ21" i="1"/>
  <c r="BV21" i="1"/>
  <c r="CA21" i="1"/>
  <c r="BW21" i="1"/>
  <c r="BY21" i="1"/>
  <c r="BT21" i="1"/>
  <c r="EA21" i="1"/>
  <c r="DZ21" i="1"/>
  <c r="DX21" i="1"/>
  <c r="DY21" i="1"/>
  <c r="BU43" i="1"/>
  <c r="BT43" i="1"/>
  <c r="CC43" i="1"/>
  <c r="CB43" i="1"/>
  <c r="CA43" i="1"/>
  <c r="BZ43" i="1"/>
  <c r="BY43" i="1"/>
  <c r="BW43" i="1"/>
  <c r="BV43" i="1"/>
  <c r="N43" i="1"/>
  <c r="EQ43" i="1"/>
  <c r="BX43" i="1"/>
  <c r="DX43" i="1"/>
  <c r="DY43" i="1"/>
  <c r="DZ43" i="1"/>
  <c r="EA43" i="1"/>
  <c r="EZ31" i="1" a="1"/>
  <c r="EZ48" i="1" a="1"/>
  <c r="EZ47" i="1" a="1"/>
  <c r="EZ27" i="1" a="1"/>
  <c r="EZ29" i="1" a="1"/>
  <c r="EZ36" i="1" a="1"/>
  <c r="EZ30" i="1" a="1"/>
  <c r="EZ30" i="1" l="1"/>
  <c r="FD30" i="1" s="1"/>
  <c r="EZ36" i="1"/>
  <c r="FD36" i="1" s="1"/>
  <c r="EZ29" i="1"/>
  <c r="FD29" i="1" s="1"/>
  <c r="EZ27" i="1"/>
  <c r="FD27" i="1" s="1"/>
  <c r="EZ47" i="1"/>
  <c r="FD47" i="1" s="1"/>
  <c r="EZ48" i="1"/>
  <c r="FD48" i="1" s="1"/>
  <c r="EZ31" i="1"/>
  <c r="FD31" i="1" s="1"/>
  <c r="BS14" i="1"/>
  <c r="BR14" i="1"/>
  <c r="BQ14" i="1"/>
  <c r="BS10" i="1"/>
  <c r="BR10" i="1"/>
  <c r="BQ10" i="1"/>
  <c r="EF36" i="1"/>
  <c r="EF29" i="1"/>
  <c r="EU13" i="1"/>
  <c r="BP14" i="1"/>
  <c r="BO14" i="1"/>
  <c r="EI47" i="1"/>
  <c r="EJ47" i="1" s="1"/>
  <c r="EF41" i="1"/>
  <c r="EU7" i="1"/>
  <c r="EU18" i="1"/>
  <c r="EU22" i="1"/>
  <c r="EF11" i="1"/>
  <c r="EU8" i="1"/>
  <c r="EJ8" i="1" s="1"/>
  <c r="EV8" i="1" s="1"/>
  <c r="ES47" i="1"/>
  <c r="EU11" i="1"/>
  <c r="EU15" i="1"/>
  <c r="EI37" i="1"/>
  <c r="EH37" i="1" s="1"/>
  <c r="EU12" i="1"/>
  <c r="EU21" i="1"/>
  <c r="EU24" i="1"/>
  <c r="EU19" i="1"/>
  <c r="EF20" i="1"/>
  <c r="EI35" i="1"/>
  <c r="EH35" i="1" s="1"/>
  <c r="EF9" i="1"/>
  <c r="EF43" i="1"/>
  <c r="EI48" i="1"/>
  <c r="EJ48" i="1" s="1"/>
  <c r="EU23" i="1"/>
  <c r="EU9" i="1"/>
  <c r="EU20" i="1"/>
  <c r="EF27" i="1"/>
  <c r="EF44" i="1"/>
  <c r="ES50" i="1"/>
  <c r="EF21" i="1"/>
  <c r="ES49" i="1"/>
  <c r="EF42" i="1"/>
  <c r="ES51" i="1"/>
  <c r="EU27" i="1"/>
  <c r="EU14" i="1"/>
  <c r="EU10" i="1"/>
  <c r="ES9" i="1"/>
  <c r="EI9" i="1"/>
  <c r="EH9" i="1" s="1"/>
  <c r="BM30" i="1"/>
  <c r="BI30" i="1"/>
  <c r="BQ30" i="1"/>
  <c r="BL30" i="1"/>
  <c r="BH30" i="1"/>
  <c r="BR30" i="1"/>
  <c r="BP30" i="1"/>
  <c r="BO30" i="1"/>
  <c r="BK30" i="1"/>
  <c r="BJ30" i="1"/>
  <c r="BS30" i="1"/>
  <c r="BN30" i="1"/>
  <c r="BR22" i="1"/>
  <c r="BQ22" i="1"/>
  <c r="BP22" i="1"/>
  <c r="BL22" i="1"/>
  <c r="BN22" i="1"/>
  <c r="BK22" i="1"/>
  <c r="BO22" i="1"/>
  <c r="BM22" i="1"/>
  <c r="BJ22" i="1"/>
  <c r="BI22" i="1"/>
  <c r="BH22" i="1"/>
  <c r="BS22" i="1"/>
  <c r="ES15" i="1"/>
  <c r="EI15" i="1"/>
  <c r="EH15" i="1" s="1"/>
  <c r="EF18" i="1"/>
  <c r="BS11" i="1"/>
  <c r="BR11" i="1"/>
  <c r="BQ11" i="1"/>
  <c r="BO11" i="1"/>
  <c r="BL11" i="1"/>
  <c r="BJ11" i="1"/>
  <c r="BH11" i="1"/>
  <c r="BP11" i="1"/>
  <c r="BN11" i="1"/>
  <c r="BM11" i="1"/>
  <c r="BK11" i="1"/>
  <c r="BI11" i="1"/>
  <c r="BR41" i="1"/>
  <c r="BL41" i="1"/>
  <c r="BJ41" i="1"/>
  <c r="BQ41" i="1"/>
  <c r="BP41" i="1"/>
  <c r="BO41" i="1"/>
  <c r="BN41" i="1"/>
  <c r="BM41" i="1"/>
  <c r="BK41" i="1"/>
  <c r="BI41" i="1"/>
  <c r="BH41" i="1"/>
  <c r="BS41" i="1"/>
  <c r="BS8" i="1"/>
  <c r="BR8" i="1"/>
  <c r="BN8" i="1"/>
  <c r="BM8" i="1"/>
  <c r="BJ8" i="1"/>
  <c r="BH8" i="1"/>
  <c r="BQ8" i="1"/>
  <c r="BP8" i="1"/>
  <c r="BO8" i="1"/>
  <c r="BL8" i="1"/>
  <c r="BK8" i="1"/>
  <c r="BI8" i="1"/>
  <c r="FP24" i="1"/>
  <c r="FO24" i="1"/>
  <c r="FN24" i="1"/>
  <c r="FQ24" i="1"/>
  <c r="ES24" i="1"/>
  <c r="EI24" i="1"/>
  <c r="EH24" i="1" s="1"/>
  <c r="FP47" i="1"/>
  <c r="FN47" i="1"/>
  <c r="FQ47" i="1"/>
  <c r="FO47" i="1"/>
  <c r="FP42" i="1"/>
  <c r="FO42" i="1"/>
  <c r="FN42" i="1"/>
  <c r="FQ42" i="1"/>
  <c r="ES20" i="1"/>
  <c r="EI20" i="1"/>
  <c r="EH20" i="1" s="1"/>
  <c r="BS35" i="1"/>
  <c r="BR35" i="1"/>
  <c r="BP35" i="1"/>
  <c r="BL35" i="1"/>
  <c r="BJ35" i="1"/>
  <c r="BQ35" i="1"/>
  <c r="BO35" i="1"/>
  <c r="BK35" i="1"/>
  <c r="BN35" i="1"/>
  <c r="BI35" i="1"/>
  <c r="BM35" i="1"/>
  <c r="BH35" i="1"/>
  <c r="BP10" i="1"/>
  <c r="BO10" i="1"/>
  <c r="BN10" i="1"/>
  <c r="BM10" i="1"/>
  <c r="BL10" i="1"/>
  <c r="BK10" i="1"/>
  <c r="BJ10" i="1"/>
  <c r="BI10" i="1"/>
  <c r="BH10" i="1"/>
  <c r="ES41" i="1"/>
  <c r="EI41" i="1"/>
  <c r="EH41" i="1" s="1"/>
  <c r="EF35" i="1"/>
  <c r="EI44" i="1"/>
  <c r="EH44" i="1" s="1"/>
  <c r="ES44" i="1"/>
  <c r="BS12" i="1"/>
  <c r="BQ12" i="1"/>
  <c r="BN12" i="1"/>
  <c r="BL12" i="1"/>
  <c r="BK12" i="1"/>
  <c r="BJ12" i="1"/>
  <c r="BI12" i="1"/>
  <c r="BR12" i="1"/>
  <c r="BO12" i="1"/>
  <c r="BM12" i="1"/>
  <c r="BH12" i="1"/>
  <c r="BP12" i="1"/>
  <c r="FP48" i="1"/>
  <c r="FN48" i="1"/>
  <c r="FQ48" i="1"/>
  <c r="FO48" i="1"/>
  <c r="BM43" i="1"/>
  <c r="BN43" i="1"/>
  <c r="BL43" i="1"/>
  <c r="BH43" i="1"/>
  <c r="BK43" i="1"/>
  <c r="BJ43" i="1"/>
  <c r="BI43" i="1"/>
  <c r="BS43" i="1"/>
  <c r="BQ43" i="1"/>
  <c r="BP43" i="1"/>
  <c r="BR43" i="1"/>
  <c r="BO43" i="1"/>
  <c r="FO15" i="1"/>
  <c r="FP15" i="1"/>
  <c r="FQ15" i="1"/>
  <c r="FN15" i="1"/>
  <c r="EF31" i="1"/>
  <c r="FP43" i="1"/>
  <c r="FO43" i="1"/>
  <c r="FQ43" i="1"/>
  <c r="FN43" i="1"/>
  <c r="ES18" i="1"/>
  <c r="EI18" i="1"/>
  <c r="EH18" i="1" s="1"/>
  <c r="BQ19" i="1"/>
  <c r="BP19" i="1"/>
  <c r="BS19" i="1"/>
  <c r="BR19" i="1"/>
  <c r="BO19" i="1"/>
  <c r="BK19" i="1"/>
  <c r="BI19" i="1"/>
  <c r="BH19" i="1"/>
  <c r="BN19" i="1"/>
  <c r="BM19" i="1"/>
  <c r="BL19" i="1"/>
  <c r="BJ19" i="1"/>
  <c r="ES32" i="1"/>
  <c r="EI32" i="1"/>
  <c r="EH32" i="1" s="1"/>
  <c r="ES11" i="1"/>
  <c r="EI11" i="1"/>
  <c r="EH11" i="1" s="1"/>
  <c r="EI27" i="1"/>
  <c r="EH27" i="1" s="1"/>
  <c r="ES27" i="1"/>
  <c r="BS42" i="1"/>
  <c r="BQ42" i="1"/>
  <c r="BL42" i="1"/>
  <c r="BJ42" i="1"/>
  <c r="BP42" i="1"/>
  <c r="BI42" i="1"/>
  <c r="BR42" i="1"/>
  <c r="BO42" i="1"/>
  <c r="BN42" i="1"/>
  <c r="BM42" i="1"/>
  <c r="BK42" i="1"/>
  <c r="BR28" i="1"/>
  <c r="BQ28" i="1"/>
  <c r="BP28" i="1"/>
  <c r="BO28" i="1"/>
  <c r="BI28" i="1"/>
  <c r="BN28" i="1"/>
  <c r="BL28" i="1"/>
  <c r="BS28" i="1"/>
  <c r="BK28" i="1"/>
  <c r="BJ28" i="1"/>
  <c r="BM28" i="1"/>
  <c r="BH28" i="1"/>
  <c r="FQ49" i="1"/>
  <c r="FO49" i="1"/>
  <c r="FP49" i="1"/>
  <c r="FN49" i="1"/>
  <c r="ES8" i="1"/>
  <c r="EF15" i="1"/>
  <c r="EF12" i="1"/>
  <c r="ES29" i="1"/>
  <c r="EI29" i="1"/>
  <c r="EH29" i="1" s="1"/>
  <c r="BQ18" i="1"/>
  <c r="BP18" i="1"/>
  <c r="BJ18" i="1"/>
  <c r="BS18" i="1"/>
  <c r="BO18" i="1"/>
  <c r="BK18" i="1"/>
  <c r="BN18" i="1"/>
  <c r="BM18" i="1"/>
  <c r="BL18" i="1"/>
  <c r="BI18" i="1"/>
  <c r="BH18" i="1"/>
  <c r="BR18" i="1"/>
  <c r="FP50" i="1"/>
  <c r="FQ50" i="1"/>
  <c r="FO50" i="1"/>
  <c r="FN50" i="1"/>
  <c r="ES31" i="1"/>
  <c r="EI31" i="1"/>
  <c r="EH31" i="1" s="1"/>
  <c r="BS48" i="1"/>
  <c r="BR48" i="1"/>
  <c r="BO48" i="1"/>
  <c r="BN48" i="1"/>
  <c r="BH48" i="1"/>
  <c r="BM48" i="1"/>
  <c r="BQ48" i="1"/>
  <c r="BJ48" i="1"/>
  <c r="BI48" i="1"/>
  <c r="BP48" i="1"/>
  <c r="BK48" i="1"/>
  <c r="BL48" i="1"/>
  <c r="EI40" i="1"/>
  <c r="EH40" i="1" s="1"/>
  <c r="ES40" i="1"/>
  <c r="FQ22" i="1"/>
  <c r="FO22" i="1"/>
  <c r="FN22" i="1"/>
  <c r="FP22" i="1"/>
  <c r="EF10" i="1"/>
  <c r="ES12" i="1"/>
  <c r="EI12" i="1"/>
  <c r="EH12" i="1" s="1"/>
  <c r="ES21" i="1"/>
  <c r="EI21" i="1"/>
  <c r="EH21" i="1" s="1"/>
  <c r="FP51" i="1"/>
  <c r="FQ51" i="1"/>
  <c r="FN51" i="1"/>
  <c r="FO51" i="1"/>
  <c r="BI50" i="1"/>
  <c r="BH50" i="1"/>
  <c r="BM50" i="1"/>
  <c r="BL50" i="1"/>
  <c r="BP50" i="1"/>
  <c r="BK50" i="1"/>
  <c r="BJ50" i="1"/>
  <c r="BS50" i="1"/>
  <c r="BR50" i="1"/>
  <c r="BQ50" i="1"/>
  <c r="BO50" i="1"/>
  <c r="BN50" i="1"/>
  <c r="FQ27" i="1"/>
  <c r="FP27" i="1"/>
  <c r="FO27" i="1"/>
  <c r="FN27" i="1"/>
  <c r="ES14" i="1"/>
  <c r="EI14" i="1"/>
  <c r="EH14" i="1" s="1"/>
  <c r="BR37" i="1"/>
  <c r="BQ37" i="1"/>
  <c r="BL37" i="1"/>
  <c r="BK37" i="1"/>
  <c r="BI37" i="1"/>
  <c r="BS37" i="1"/>
  <c r="BO37" i="1"/>
  <c r="BN37" i="1"/>
  <c r="BP37" i="1"/>
  <c r="BM37" i="1"/>
  <c r="BJ37" i="1"/>
  <c r="BH37" i="1"/>
  <c r="BI9" i="1"/>
  <c r="BH9" i="1"/>
  <c r="BS9" i="1"/>
  <c r="BP9" i="1"/>
  <c r="BM9" i="1"/>
  <c r="BL9" i="1"/>
  <c r="BJ9" i="1"/>
  <c r="BR9" i="1"/>
  <c r="BQ9" i="1"/>
  <c r="BN9" i="1"/>
  <c r="BK9" i="1"/>
  <c r="BO9" i="1"/>
  <c r="EI7" i="1"/>
  <c r="EH7" i="1" s="1"/>
  <c r="ES7" i="1"/>
  <c r="EF23" i="1"/>
  <c r="ES48" i="1"/>
  <c r="BS27" i="1"/>
  <c r="BP27" i="1"/>
  <c r="BO27" i="1"/>
  <c r="BR27" i="1"/>
  <c r="BQ27" i="1"/>
  <c r="FP7" i="1"/>
  <c r="FO7" i="1"/>
  <c r="FQ7" i="1"/>
  <c r="FN7" i="1"/>
  <c r="FQ29" i="1"/>
  <c r="FP29" i="1"/>
  <c r="FN29" i="1"/>
  <c r="FO29" i="1"/>
  <c r="EI13" i="1"/>
  <c r="EH13" i="1" s="1"/>
  <c r="ES13" i="1"/>
  <c r="FP9" i="1"/>
  <c r="FN9" i="1"/>
  <c r="FO9" i="1"/>
  <c r="FQ9" i="1"/>
  <c r="FO30" i="1"/>
  <c r="FQ30" i="1"/>
  <c r="FP30" i="1"/>
  <c r="FN30" i="1"/>
  <c r="EF30" i="1"/>
  <c r="EI43" i="1"/>
  <c r="EH43" i="1" s="1"/>
  <c r="ES43" i="1"/>
  <c r="BQ20" i="1"/>
  <c r="BP20" i="1"/>
  <c r="BO20" i="1"/>
  <c r="BL20" i="1"/>
  <c r="BI20" i="1"/>
  <c r="BK20" i="1"/>
  <c r="BM20" i="1"/>
  <c r="BH20" i="1"/>
  <c r="BN20" i="1"/>
  <c r="BJ20" i="1"/>
  <c r="BS20" i="1"/>
  <c r="BR20" i="1"/>
  <c r="BR29" i="1"/>
  <c r="BO29" i="1"/>
  <c r="BI29" i="1"/>
  <c r="BN29" i="1"/>
  <c r="BK29" i="1"/>
  <c r="BJ29" i="1"/>
  <c r="BQ29" i="1"/>
  <c r="BM29" i="1"/>
  <c r="BL29" i="1"/>
  <c r="BS29" i="1"/>
  <c r="BP29" i="1"/>
  <c r="BH29" i="1"/>
  <c r="FQ8" i="1"/>
  <c r="FP8" i="1"/>
  <c r="FO8" i="1"/>
  <c r="FN8" i="1"/>
  <c r="EF37" i="1"/>
  <c r="BR24" i="1"/>
  <c r="BP24" i="1"/>
  <c r="BK24" i="1"/>
  <c r="BH24" i="1"/>
  <c r="BS24" i="1"/>
  <c r="BQ24" i="1"/>
  <c r="BO24" i="1"/>
  <c r="BN24" i="1"/>
  <c r="BM24" i="1"/>
  <c r="BL24" i="1"/>
  <c r="BJ24" i="1"/>
  <c r="BI24" i="1"/>
  <c r="BQ15" i="1"/>
  <c r="BN15" i="1"/>
  <c r="BK15" i="1"/>
  <c r="BI15" i="1"/>
  <c r="BM15" i="1"/>
  <c r="BJ15" i="1"/>
  <c r="BL15" i="1"/>
  <c r="BH15" i="1"/>
  <c r="BR15" i="1"/>
  <c r="BS15" i="1"/>
  <c r="BR13" i="1"/>
  <c r="BQ13" i="1"/>
  <c r="BP13" i="1"/>
  <c r="BJ13" i="1"/>
  <c r="BI13" i="1"/>
  <c r="BH13" i="1"/>
  <c r="BS13" i="1"/>
  <c r="BO13" i="1"/>
  <c r="BN13" i="1"/>
  <c r="BM13" i="1"/>
  <c r="BK13" i="1"/>
  <c r="BL13" i="1"/>
  <c r="FQ11" i="1"/>
  <c r="FP11" i="1"/>
  <c r="FO11" i="1"/>
  <c r="FN11" i="1"/>
  <c r="FN31" i="1"/>
  <c r="FQ31" i="1"/>
  <c r="FP31" i="1"/>
  <c r="FO31" i="1"/>
  <c r="EF24" i="1"/>
  <c r="BM14" i="1"/>
  <c r="BL14" i="1"/>
  <c r="BK14" i="1"/>
  <c r="BI14" i="1"/>
  <c r="BN14" i="1"/>
  <c r="BJ14" i="1"/>
  <c r="BH14" i="1"/>
  <c r="FQ20" i="1"/>
  <c r="FP20" i="1"/>
  <c r="FO20" i="1"/>
  <c r="FN20" i="1"/>
  <c r="FO44" i="1"/>
  <c r="FN44" i="1"/>
  <c r="FP44" i="1"/>
  <c r="FQ44" i="1"/>
  <c r="EF32" i="1"/>
  <c r="FQ21" i="1"/>
  <c r="FP21" i="1"/>
  <c r="FO21" i="1"/>
  <c r="FN21" i="1"/>
  <c r="FQ23" i="1"/>
  <c r="FN23" i="1"/>
  <c r="FP23" i="1"/>
  <c r="FO23" i="1"/>
  <c r="EI36" i="1"/>
  <c r="EH36" i="1" s="1"/>
  <c r="ES10" i="1"/>
  <c r="EI10" i="1"/>
  <c r="EH10" i="1" s="1"/>
  <c r="ES23" i="1"/>
  <c r="EI23" i="1"/>
  <c r="EH23" i="1" s="1"/>
  <c r="EF7" i="1"/>
  <c r="EF14" i="1"/>
  <c r="EF19" i="1"/>
  <c r="ES22" i="1"/>
  <c r="EI22" i="1"/>
  <c r="EH22" i="1" s="1"/>
  <c r="EI30" i="1"/>
  <c r="EH30" i="1" s="1"/>
  <c r="ES30" i="1"/>
  <c r="BS47" i="1"/>
  <c r="BR47" i="1"/>
  <c r="BP47" i="1"/>
  <c r="BO47" i="1"/>
  <c r="BN47" i="1"/>
  <c r="BM47" i="1"/>
  <c r="BL47" i="1"/>
  <c r="BJ47" i="1"/>
  <c r="BI47" i="1"/>
  <c r="BK47" i="1"/>
  <c r="BH47" i="1"/>
  <c r="BQ47" i="1"/>
  <c r="FO32" i="1"/>
  <c r="FN32" i="1"/>
  <c r="FQ32" i="1"/>
  <c r="FP32" i="1"/>
  <c r="FQ37" i="1"/>
  <c r="FN37" i="1"/>
  <c r="FP37" i="1"/>
  <c r="FO37" i="1"/>
  <c r="FQ40" i="1"/>
  <c r="FP40" i="1"/>
  <c r="FO40" i="1"/>
  <c r="FN40" i="1"/>
  <c r="BQ21" i="1"/>
  <c r="BP21" i="1"/>
  <c r="BO21" i="1"/>
  <c r="BN21" i="1"/>
  <c r="BK21" i="1"/>
  <c r="BL21" i="1"/>
  <c r="BI21" i="1"/>
  <c r="BJ21" i="1"/>
  <c r="BH21" i="1"/>
  <c r="BS21" i="1"/>
  <c r="BR21" i="1"/>
  <c r="BM21" i="1"/>
  <c r="BO44" i="1"/>
  <c r="BN44" i="1"/>
  <c r="BK44" i="1"/>
  <c r="BJ44" i="1"/>
  <c r="BI44" i="1"/>
  <c r="BH44" i="1"/>
  <c r="BS44" i="1"/>
  <c r="BR44" i="1"/>
  <c r="BQ44" i="1"/>
  <c r="BP44" i="1"/>
  <c r="BM44" i="1"/>
  <c r="BL44" i="1"/>
  <c r="EF13" i="1"/>
  <c r="BS31" i="1"/>
  <c r="BR31" i="1"/>
  <c r="BP31" i="1"/>
  <c r="BQ31" i="1"/>
  <c r="BO31" i="1"/>
  <c r="EF8" i="1"/>
  <c r="ES19" i="1"/>
  <c r="EI19" i="1"/>
  <c r="EH19" i="1" s="1"/>
  <c r="EF22" i="1"/>
  <c r="ES42" i="1"/>
  <c r="EI42" i="1"/>
  <c r="EH42" i="1" s="1"/>
  <c r="BQ51" i="1"/>
  <c r="BL51" i="1"/>
  <c r="BK51" i="1"/>
  <c r="BR51" i="1"/>
  <c r="BP51" i="1"/>
  <c r="BO51" i="1"/>
  <c r="BJ51" i="1"/>
  <c r="BH51" i="1"/>
  <c r="BS51" i="1"/>
  <c r="BN51" i="1"/>
  <c r="BM51" i="1"/>
  <c r="BI51" i="1"/>
  <c r="BR36" i="1"/>
  <c r="BQ36" i="1"/>
  <c r="BN36" i="1"/>
  <c r="BM36" i="1"/>
  <c r="BL36" i="1"/>
  <c r="BS36" i="1"/>
  <c r="BP36" i="1"/>
  <c r="BO36" i="1"/>
  <c r="BK36" i="1"/>
  <c r="BI36" i="1"/>
  <c r="BJ36" i="1"/>
  <c r="BH36" i="1"/>
  <c r="BR23" i="1"/>
  <c r="BQ23" i="1"/>
  <c r="BK23" i="1"/>
  <c r="BH23" i="1"/>
  <c r="BP23" i="1"/>
  <c r="BL23" i="1"/>
  <c r="BJ23" i="1"/>
  <c r="BO23" i="1"/>
  <c r="BN23" i="1"/>
  <c r="BM23" i="1"/>
  <c r="BI23" i="1"/>
  <c r="BS23" i="1"/>
  <c r="FO14" i="1"/>
  <c r="FQ14" i="1"/>
  <c r="FP14" i="1"/>
  <c r="FN14" i="1"/>
  <c r="FP35" i="1"/>
  <c r="FO35" i="1"/>
  <c r="FN35" i="1"/>
  <c r="FQ35" i="1"/>
  <c r="FO19" i="1"/>
  <c r="FN19" i="1"/>
  <c r="FQ19" i="1"/>
  <c r="FP19" i="1"/>
  <c r="EF40" i="1"/>
  <c r="FQ41" i="1"/>
  <c r="FO41" i="1"/>
  <c r="FP41" i="1"/>
  <c r="FN41" i="1"/>
  <c r="FO18" i="1"/>
  <c r="FN18" i="1"/>
  <c r="FQ18" i="1"/>
  <c r="FP18" i="1"/>
  <c r="BN49" i="1"/>
  <c r="BM49" i="1"/>
  <c r="BL49" i="1"/>
  <c r="BK49" i="1"/>
  <c r="BJ49" i="1"/>
  <c r="BI49" i="1"/>
  <c r="BR49" i="1"/>
  <c r="BS49" i="1"/>
  <c r="BH49" i="1"/>
  <c r="BQ49" i="1"/>
  <c r="BP49" i="1"/>
  <c r="BO49" i="1"/>
  <c r="BS40" i="1"/>
  <c r="BR40" i="1"/>
  <c r="BQ40" i="1"/>
  <c r="BO40" i="1"/>
  <c r="BM40" i="1"/>
  <c r="BK40" i="1"/>
  <c r="BI40" i="1"/>
  <c r="BP40" i="1"/>
  <c r="BN40" i="1"/>
  <c r="BL40" i="1"/>
  <c r="BJ40" i="1"/>
  <c r="BN32" i="1"/>
  <c r="BM32" i="1"/>
  <c r="BK32" i="1"/>
  <c r="BP32" i="1"/>
  <c r="BJ32" i="1"/>
  <c r="BI32" i="1"/>
  <c r="BH32" i="1"/>
  <c r="BS32" i="1"/>
  <c r="BR32" i="1"/>
  <c r="BQ32" i="1"/>
  <c r="BO32" i="1"/>
  <c r="BL32" i="1"/>
  <c r="FP13" i="1"/>
  <c r="FO13" i="1"/>
  <c r="FQ13" i="1"/>
  <c r="FN13" i="1"/>
  <c r="FP36" i="1"/>
  <c r="FO36" i="1"/>
  <c r="FQ36" i="1"/>
  <c r="FN36" i="1"/>
  <c r="FA31" i="1" a="1"/>
  <c r="FA30" i="1" a="1"/>
  <c r="FA47" i="1" a="1"/>
  <c r="FA29" i="1" a="1"/>
  <c r="FA48" i="1" a="1"/>
  <c r="FA27" i="1" a="1"/>
  <c r="FA36" i="1" a="1"/>
  <c r="FA36" i="1" l="1"/>
  <c r="FE36" i="1" s="1"/>
  <c r="FA27" i="1"/>
  <c r="FE27" i="1" s="1"/>
  <c r="FA48" i="1"/>
  <c r="FE48" i="1" s="1"/>
  <c r="FA29" i="1"/>
  <c r="FE29" i="1" s="1"/>
  <c r="FA47" i="1"/>
  <c r="FE47" i="1" s="1"/>
  <c r="FA30" i="1"/>
  <c r="FE30" i="1" s="1"/>
  <c r="FA31" i="1"/>
  <c r="FE31" i="1" s="1"/>
  <c r="FR19" i="1"/>
  <c r="FR41" i="1"/>
  <c r="FS13" i="1"/>
  <c r="FS42" i="1"/>
  <c r="FR40" i="1"/>
  <c r="FS19" i="1"/>
  <c r="FS11" i="1"/>
  <c r="FS32" i="1"/>
  <c r="EI8" i="1"/>
  <c r="EH8" i="1" s="1"/>
  <c r="FR49" i="1"/>
  <c r="FS36" i="1"/>
  <c r="FS50" i="1"/>
  <c r="FS41" i="1"/>
  <c r="EJ37" i="1"/>
  <c r="EJ36" i="1"/>
  <c r="FS18" i="1"/>
  <c r="FS24" i="1"/>
  <c r="FS43" i="1"/>
  <c r="EJ12" i="1"/>
  <c r="EV12" i="1" s="1"/>
  <c r="EJ19" i="1"/>
  <c r="EV19" i="1" s="1"/>
  <c r="FR31" i="1"/>
  <c r="FS22" i="1"/>
  <c r="EJ44" i="1"/>
  <c r="EJ21" i="1"/>
  <c r="EV21" i="1" s="1"/>
  <c r="EJ42" i="1"/>
  <c r="EJ15" i="1"/>
  <c r="EV15" i="1" s="1"/>
  <c r="FR18" i="1"/>
  <c r="EJ30" i="1"/>
  <c r="FS21" i="1"/>
  <c r="FR21" i="1"/>
  <c r="EJ9" i="1"/>
  <c r="EV9" i="1" s="1"/>
  <c r="FS27" i="1"/>
  <c r="EJ35" i="1"/>
  <c r="EJ20" i="1"/>
  <c r="EV20" i="1" s="1"/>
  <c r="FS15" i="1"/>
  <c r="EJ27" i="1"/>
  <c r="EJ11" i="1"/>
  <c r="EV11" i="1" s="1"/>
  <c r="FR22" i="1"/>
  <c r="EJ22" i="1"/>
  <c r="EV22" i="1" s="1"/>
  <c r="EJ31" i="1"/>
  <c r="FR14" i="1"/>
  <c r="FR11" i="1"/>
  <c r="EJ10" i="1"/>
  <c r="EV10" i="1" s="1"/>
  <c r="FR48" i="1"/>
  <c r="EJ41" i="1"/>
  <c r="EJ23" i="1"/>
  <c r="EV23" i="1" s="1"/>
  <c r="FS51" i="1"/>
  <c r="FR51" i="1"/>
  <c r="FR42" i="1"/>
  <c r="EJ40" i="1"/>
  <c r="FS29" i="1"/>
  <c r="FS14" i="1"/>
  <c r="FS20" i="1"/>
  <c r="FS31" i="1"/>
  <c r="FR8" i="1"/>
  <c r="EJ29" i="1"/>
  <c r="FR27" i="1"/>
  <c r="FS49" i="1"/>
  <c r="FS35" i="1"/>
  <c r="FR37" i="1"/>
  <c r="FS9" i="1"/>
  <c r="FR15" i="1"/>
  <c r="FR9" i="1"/>
  <c r="FS47" i="1"/>
  <c r="FR35" i="1"/>
  <c r="FS37" i="1"/>
  <c r="FR44" i="1"/>
  <c r="FR47" i="1"/>
  <c r="FS8" i="1"/>
  <c r="EJ14" i="1"/>
  <c r="EV14" i="1" s="1"/>
  <c r="FR32" i="1"/>
  <c r="FS44" i="1"/>
  <c r="EJ18" i="1"/>
  <c r="EV18" i="1" s="1"/>
  <c r="EJ32" i="1"/>
  <c r="FR29" i="1"/>
  <c r="EJ24" i="1"/>
  <c r="EV24" i="1" s="1"/>
  <c r="EJ13" i="1"/>
  <c r="EV13" i="1" s="1"/>
  <c r="FR20" i="1"/>
  <c r="FS7" i="1"/>
  <c r="FR24" i="1"/>
  <c r="FR50" i="1"/>
  <c r="FR7" i="1"/>
  <c r="FR36" i="1"/>
  <c r="FR13" i="1"/>
  <c r="FR23" i="1"/>
  <c r="EJ7" i="1"/>
  <c r="EV7" i="1" s="1"/>
  <c r="FR43" i="1"/>
  <c r="FS23" i="1"/>
  <c r="FS30" i="1"/>
  <c r="EJ43" i="1"/>
  <c r="FS48" i="1"/>
  <c r="FS40" i="1"/>
  <c r="FR30" i="1"/>
  <c r="B40" i="7"/>
  <c r="B35" i="7"/>
  <c r="B41" i="7" s="1"/>
  <c r="C29" i="7"/>
  <c r="E29" i="7" s="1"/>
  <c r="F29" i="7" s="1"/>
  <c r="G29" i="7" s="1"/>
  <c r="E8" i="7"/>
  <c r="D8" i="7"/>
  <c r="C8" i="7"/>
  <c r="E7" i="7"/>
  <c r="D7" i="7"/>
  <c r="E6" i="7" l="1"/>
  <c r="D6" i="7"/>
  <c r="C12" i="7"/>
  <c r="C21" i="7"/>
  <c r="D12" i="7"/>
  <c r="D21" i="7"/>
  <c r="E12" i="7"/>
  <c r="E21" i="7"/>
  <c r="B36" i="7"/>
  <c r="A1" i="7"/>
  <c r="E30" i="7" l="1"/>
  <c r="E11" i="7"/>
  <c r="E16" i="7" s="1"/>
  <c r="D11" i="7"/>
  <c r="D16" i="7" s="1"/>
  <c r="D30" i="7"/>
  <c r="C11" i="7"/>
  <c r="C16" i="7" s="1"/>
  <c r="C30" i="7"/>
  <c r="B42" i="7"/>
  <c r="B37" i="7"/>
  <c r="B38" i="7" l="1"/>
  <c r="B44" i="7" s="1"/>
  <c r="B43" i="7"/>
  <c r="FD19" i="9" l="1"/>
  <c r="EZ19" i="9"/>
  <c r="CF19" i="9" l="1"/>
  <c r="BG19" i="9"/>
  <c r="BF19" i="9"/>
  <c r="BE19" i="9"/>
  <c r="BD19" i="9"/>
  <c r="CO19" i="9" s="1"/>
  <c r="BC19" i="9"/>
  <c r="BB19" i="9"/>
  <c r="BA19" i="9"/>
  <c r="AZ19" i="9"/>
  <c r="AY19" i="9"/>
  <c r="AO19" i="9"/>
  <c r="AN19" i="9"/>
  <c r="AM19" i="9"/>
  <c r="AL19" i="9"/>
  <c r="AK19" i="9"/>
  <c r="AJ19" i="9"/>
  <c r="AI19" i="9"/>
  <c r="AH19" i="9"/>
  <c r="AG19" i="9"/>
  <c r="M19" i="9"/>
  <c r="FD18" i="9"/>
  <c r="FB18" i="9"/>
  <c r="FA18" i="9"/>
  <c r="EZ18" i="9"/>
  <c r="EN19" i="9" l="1"/>
  <c r="EM19" i="9"/>
  <c r="FC18" i="9"/>
  <c r="CP19" i="9"/>
  <c r="CG19" i="9"/>
  <c r="FE18" i="9"/>
  <c r="FB19" i="9" l="1"/>
  <c r="FA19" i="9"/>
  <c r="CQ19" i="9"/>
  <c r="CH19" i="9"/>
  <c r="FC19" i="9" l="1"/>
  <c r="CR19" i="9"/>
  <c r="CI19" i="9"/>
  <c r="FE19" i="9"/>
  <c r="CI18" i="9" l="1"/>
  <c r="BG18" i="9"/>
  <c r="CR18" i="9" s="1"/>
  <c r="BF18" i="9"/>
  <c r="CQ18" i="9" s="1"/>
  <c r="BE18" i="9"/>
  <c r="CP18" i="9" s="1"/>
  <c r="BD18" i="9"/>
  <c r="CO18" i="9" s="1"/>
  <c r="BC18" i="9"/>
  <c r="BB18" i="9"/>
  <c r="BA18" i="9"/>
  <c r="AZ18" i="9"/>
  <c r="AY18" i="9"/>
  <c r="AJ18" i="9"/>
  <c r="AI18" i="9"/>
  <c r="AH18" i="9"/>
  <c r="AG18" i="9"/>
  <c r="AB18" i="9"/>
  <c r="AK18" i="9" s="1"/>
  <c r="M18" i="9"/>
  <c r="EN18" i="9" l="1"/>
  <c r="AC18" i="9"/>
  <c r="FD17" i="9"/>
  <c r="EZ17" i="9"/>
  <c r="AL18" i="9" l="1"/>
  <c r="AD18" i="9"/>
  <c r="AM18" i="9" l="1"/>
  <c r="AE18" i="9"/>
  <c r="AN18" i="9" l="1"/>
  <c r="EM18" i="9" s="1"/>
  <c r="AF18" i="9"/>
  <c r="AO18" i="9" s="1"/>
  <c r="CF17" i="9"/>
  <c r="BG17" i="9"/>
  <c r="BF17" i="9"/>
  <c r="BE17" i="9"/>
  <c r="BD17" i="9"/>
  <c r="CO17" i="9" s="1"/>
  <c r="BC17" i="9"/>
  <c r="BB17" i="9"/>
  <c r="BA17" i="9"/>
  <c r="AZ17" i="9"/>
  <c r="AY17" i="9"/>
  <c r="AO17" i="9"/>
  <c r="AN17" i="9"/>
  <c r="AM17" i="9"/>
  <c r="AL17" i="9"/>
  <c r="AK17" i="9"/>
  <c r="AJ17" i="9"/>
  <c r="AI17" i="9"/>
  <c r="AH17" i="9"/>
  <c r="AG17" i="9"/>
  <c r="M17" i="9"/>
  <c r="EM17" i="9" l="1"/>
  <c r="EN17" i="9"/>
  <c r="CP17" i="9"/>
  <c r="CG17" i="9"/>
  <c r="FB17" i="9" l="1"/>
  <c r="FA17" i="9"/>
  <c r="CQ17" i="9"/>
  <c r="CH17" i="9"/>
  <c r="FE17" i="9" l="1"/>
  <c r="CI17" i="9"/>
  <c r="CR17" i="9"/>
  <c r="FC17" i="9"/>
  <c r="FW19" i="9" l="1"/>
  <c r="EF19" i="9"/>
  <c r="EH19" i="9"/>
  <c r="DU19" i="9"/>
  <c r="DV19" i="9"/>
  <c r="FV19" i="9"/>
  <c r="BX19" i="9"/>
  <c r="BW19" i="9"/>
  <c r="BV19" i="9"/>
  <c r="BU19" i="9"/>
  <c r="BT19" i="9"/>
  <c r="N19" i="9"/>
  <c r="CA19" i="9"/>
  <c r="BZ19" i="9"/>
  <c r="BY19" i="9"/>
  <c r="CC19" i="9"/>
  <c r="CB19" i="9"/>
  <c r="DZ19" i="9"/>
  <c r="DY19" i="9"/>
  <c r="EA19" i="9"/>
  <c r="EB19" i="9"/>
  <c r="FW18" i="9"/>
  <c r="EF18" i="9"/>
  <c r="EH18" i="9"/>
  <c r="DU18" i="9"/>
  <c r="DV18" i="9"/>
  <c r="FV18" i="9"/>
  <c r="BU18" i="9"/>
  <c r="BT18" i="9"/>
  <c r="CC18" i="9"/>
  <c r="CB18" i="9"/>
  <c r="N18" i="9"/>
  <c r="CA18" i="9"/>
  <c r="BY18" i="9"/>
  <c r="BX18" i="9"/>
  <c r="BW18" i="9"/>
  <c r="BV18" i="9"/>
  <c r="BZ18" i="9"/>
  <c r="EB18" i="9"/>
  <c r="EA18" i="9"/>
  <c r="DY18" i="9"/>
  <c r="DZ18" i="9"/>
  <c r="DV17" i="9"/>
  <c r="FW17" i="9"/>
  <c r="EF17" i="9"/>
  <c r="EH17" i="9"/>
  <c r="DU17" i="9"/>
  <c r="FV17" i="9"/>
  <c r="BX17" i="9"/>
  <c r="BW17" i="9"/>
  <c r="BV17" i="9"/>
  <c r="BU17" i="9"/>
  <c r="CC17" i="9"/>
  <c r="CB17" i="9"/>
  <c r="CA17" i="9"/>
  <c r="BZ17" i="9"/>
  <c r="BY17" i="9"/>
  <c r="BT17" i="9"/>
  <c r="N17" i="9"/>
  <c r="DY17" i="9"/>
  <c r="DZ17" i="9"/>
  <c r="EA17" i="9"/>
  <c r="EB17" i="9"/>
  <c r="DW19" i="9"/>
  <c r="EL19" i="9" s="1"/>
  <c r="DX19" i="9"/>
  <c r="EN16" i="9"/>
  <c r="EG18" i="9" l="1"/>
  <c r="EG17" i="9"/>
  <c r="EG19" i="9"/>
  <c r="FI19" i="9"/>
  <c r="FH19" i="9"/>
  <c r="FG19" i="9"/>
  <c r="FF19" i="9"/>
  <c r="BR19" i="9"/>
  <c r="BM19" i="9"/>
  <c r="BJ19" i="9"/>
  <c r="BI19" i="9"/>
  <c r="BH19" i="9"/>
  <c r="BS19" i="9"/>
  <c r="BQ19" i="9"/>
  <c r="BK19" i="9"/>
  <c r="BN19" i="9"/>
  <c r="BL19" i="9"/>
  <c r="FX19" i="9"/>
  <c r="EJ19" i="9"/>
  <c r="EI19" i="9" s="1"/>
  <c r="DX17" i="9"/>
  <c r="DX18" i="9"/>
  <c r="BS18" i="9"/>
  <c r="BR18" i="9"/>
  <c r="BQ18" i="9"/>
  <c r="BP18" i="9"/>
  <c r="BO18" i="9"/>
  <c r="BN18" i="9"/>
  <c r="BM18" i="9"/>
  <c r="BL18" i="9"/>
  <c r="BI18" i="9"/>
  <c r="BH18" i="9"/>
  <c r="BJ18" i="9"/>
  <c r="BK18" i="9"/>
  <c r="DW17" i="9"/>
  <c r="EL17" i="9" s="1"/>
  <c r="FG17" i="9" s="1"/>
  <c r="DW18" i="9"/>
  <c r="EL18" i="9" s="1"/>
  <c r="FX18" i="9"/>
  <c r="EJ18" i="9"/>
  <c r="EI18" i="9" s="1"/>
  <c r="BR17" i="9"/>
  <c r="BQ17" i="9"/>
  <c r="BP17" i="9"/>
  <c r="BL17" i="9"/>
  <c r="BJ17" i="9"/>
  <c r="BI17" i="9"/>
  <c r="BH17" i="9"/>
  <c r="BS17" i="9"/>
  <c r="BN17" i="9"/>
  <c r="BM17" i="9"/>
  <c r="BK17" i="9"/>
  <c r="BO17" i="9"/>
  <c r="FX17" i="9"/>
  <c r="EJ17" i="9"/>
  <c r="EI17" i="9" s="1"/>
  <c r="CR16" i="9"/>
  <c r="CQ16" i="9"/>
  <c r="CP16" i="9"/>
  <c r="CO16" i="9"/>
  <c r="AO16" i="9"/>
  <c r="AN16" i="9"/>
  <c r="AM16" i="9"/>
  <c r="AL16" i="9"/>
  <c r="AK16" i="9"/>
  <c r="AJ16" i="9"/>
  <c r="AI16" i="9"/>
  <c r="AH16" i="9"/>
  <c r="AG16" i="9"/>
  <c r="M16" i="9"/>
  <c r="FI17" i="9" l="1"/>
  <c r="FH17" i="9"/>
  <c r="FF17" i="9"/>
  <c r="FK17" i="9" s="1"/>
  <c r="FJ19" i="9"/>
  <c r="FK19" i="9"/>
  <c r="EK19" i="9"/>
  <c r="EM16" i="9"/>
  <c r="FI18" i="9"/>
  <c r="FG18" i="9"/>
  <c r="FF18" i="9"/>
  <c r="FH18" i="9"/>
  <c r="EK18" i="9"/>
  <c r="EK17" i="9"/>
  <c r="BT16" i="9"/>
  <c r="N16" i="9"/>
  <c r="CC16" i="9"/>
  <c r="CB16" i="9"/>
  <c r="CA16" i="9"/>
  <c r="BZ16" i="9"/>
  <c r="BY16" i="9"/>
  <c r="BX16" i="9"/>
  <c r="BW16" i="9"/>
  <c r="BV16" i="9"/>
  <c r="BU16" i="9"/>
  <c r="DY16" i="9"/>
  <c r="DZ16" i="9"/>
  <c r="EA16" i="9"/>
  <c r="EB16" i="9"/>
  <c r="FJ17" i="9" l="1"/>
  <c r="FK18" i="9"/>
  <c r="FJ18" i="9"/>
  <c r="BS16" i="9"/>
  <c r="BR16" i="9"/>
  <c r="BQ16" i="9"/>
  <c r="BP16" i="9"/>
  <c r="BO16" i="9"/>
  <c r="BN16" i="9"/>
  <c r="BM16" i="9"/>
  <c r="BL16" i="9"/>
  <c r="BK16" i="9"/>
  <c r="BJ16" i="9"/>
  <c r="BI16" i="9"/>
  <c r="BH16" i="9"/>
  <c r="EN15" i="9"/>
  <c r="CR15" i="9" l="1"/>
  <c r="CQ15" i="9"/>
  <c r="CP15" i="9"/>
  <c r="CO15" i="9"/>
  <c r="AO15" i="9"/>
  <c r="AN15" i="9"/>
  <c r="AM15" i="9"/>
  <c r="AL15" i="9"/>
  <c r="AK15" i="9"/>
  <c r="AJ15" i="9"/>
  <c r="AI15" i="9"/>
  <c r="AH15" i="9"/>
  <c r="AG15" i="9"/>
  <c r="M15" i="9"/>
  <c r="EM15" i="9" l="1"/>
  <c r="EI15" i="9"/>
  <c r="BT15" i="9"/>
  <c r="N15" i="9"/>
  <c r="CC15" i="9"/>
  <c r="CA15" i="9"/>
  <c r="BZ15" i="9"/>
  <c r="BY15" i="9"/>
  <c r="BW15" i="9"/>
  <c r="BV15" i="9"/>
  <c r="BU15" i="9"/>
  <c r="BX15" i="9"/>
  <c r="CB15" i="9"/>
  <c r="DY15" i="9"/>
  <c r="DZ15" i="9"/>
  <c r="EB15" i="9"/>
  <c r="EA15" i="9"/>
  <c r="BS15" i="9" l="1"/>
  <c r="BR15" i="9"/>
  <c r="BQ15" i="9"/>
  <c r="BP15" i="9"/>
  <c r="BO15" i="9"/>
  <c r="BN15" i="9"/>
  <c r="BM15" i="9"/>
  <c r="BK15" i="9"/>
  <c r="BI15" i="9"/>
  <c r="BH15" i="9"/>
  <c r="BL15" i="9"/>
  <c r="BJ15" i="9"/>
  <c r="CR14" i="9" l="1"/>
  <c r="CQ14" i="9"/>
  <c r="CP14" i="9"/>
  <c r="CO14" i="9"/>
  <c r="AF14" i="9"/>
  <c r="AE14" i="9"/>
  <c r="AD14" i="9"/>
  <c r="AC14" i="9"/>
  <c r="AB14" i="9"/>
  <c r="AA14" i="9"/>
  <c r="Z14" i="9"/>
  <c r="Y14" i="9"/>
  <c r="X14" i="9"/>
  <c r="M14" i="9"/>
  <c r="BY14" i="9" l="1"/>
  <c r="CB14" i="9"/>
  <c r="CA14" i="9"/>
  <c r="BZ14" i="9"/>
  <c r="N14" i="9"/>
  <c r="CC14" i="9"/>
  <c r="BK14" i="9" l="1"/>
  <c r="BJ14" i="9"/>
  <c r="BI14" i="9"/>
  <c r="BH14" i="9"/>
  <c r="BQ14" i="9"/>
  <c r="BL14" i="9"/>
  <c r="BR14" i="9"/>
  <c r="BN14" i="9"/>
  <c r="BS14" i="9"/>
  <c r="BP14" i="9"/>
  <c r="BO14" i="9"/>
  <c r="BM14" i="9"/>
  <c r="DB12" i="9" l="1"/>
  <c r="CR12" i="9" s="1"/>
  <c r="DA12" i="9"/>
  <c r="CQ12" i="9" s="1"/>
  <c r="CZ12" i="9"/>
  <c r="CP12" i="9" s="1"/>
  <c r="CY12" i="9"/>
  <c r="CO12" i="9" s="1"/>
  <c r="AF12" i="9"/>
  <c r="AE12" i="9"/>
  <c r="AD12" i="9"/>
  <c r="AC12" i="9"/>
  <c r="AB12" i="9"/>
  <c r="AA12" i="9"/>
  <c r="Z12" i="9"/>
  <c r="Y12" i="9"/>
  <c r="X12" i="9"/>
  <c r="M12" i="9"/>
  <c r="N12" i="9" l="1"/>
  <c r="BQ12" i="9" l="1"/>
  <c r="BP12" i="9"/>
  <c r="BN12" i="9"/>
  <c r="BH12" i="9"/>
  <c r="BS12" i="9"/>
  <c r="BO12" i="9"/>
  <c r="BL12" i="9"/>
  <c r="BK12" i="9"/>
  <c r="BR12" i="9"/>
  <c r="BM12" i="9"/>
  <c r="BJ12" i="9"/>
  <c r="BI12" i="9"/>
  <c r="CR11" i="9" l="1"/>
  <c r="CQ11" i="9"/>
  <c r="CP11" i="9"/>
  <c r="CO11" i="9"/>
  <c r="AF11" i="9"/>
  <c r="AE11" i="9"/>
  <c r="AD11" i="9"/>
  <c r="AC11" i="9"/>
  <c r="AB11" i="9"/>
  <c r="AA11" i="9"/>
  <c r="Z11" i="9"/>
  <c r="Y11" i="9"/>
  <c r="X11" i="9"/>
  <c r="M11" i="9"/>
  <c r="CB11" i="9" l="1"/>
  <c r="BY11" i="9"/>
  <c r="BU11" i="9"/>
  <c r="CA11" i="9"/>
  <c r="BV11" i="9"/>
  <c r="N11" i="9"/>
  <c r="CC11" i="9"/>
  <c r="BZ11" i="9"/>
  <c r="BX11" i="9"/>
  <c r="BT11" i="9"/>
  <c r="BW11" i="9"/>
  <c r="BP11" i="9" l="1"/>
  <c r="BR11" i="9"/>
  <c r="BO11" i="9"/>
  <c r="BH11" i="9"/>
  <c r="BN11" i="9"/>
  <c r="BS11" i="9"/>
  <c r="BM11" i="9"/>
  <c r="BL11" i="9"/>
  <c r="BK11" i="9"/>
  <c r="BJ11" i="9"/>
  <c r="BQ11" i="9"/>
  <c r="BI11" i="9"/>
  <c r="EN10" i="9"/>
  <c r="CR10" i="9" l="1"/>
  <c r="CQ10" i="9"/>
  <c r="CP10" i="9"/>
  <c r="CO10" i="9"/>
  <c r="AO10" i="9"/>
  <c r="AN10" i="9"/>
  <c r="AM10" i="9"/>
  <c r="AL10" i="9"/>
  <c r="AK10" i="9"/>
  <c r="AJ10" i="9"/>
  <c r="AI10" i="9"/>
  <c r="AH10" i="9"/>
  <c r="AG10" i="9"/>
  <c r="K10" i="9"/>
  <c r="M10" i="9" s="1"/>
  <c r="EM10" i="9" l="1"/>
  <c r="CC10" i="9"/>
  <c r="CB10" i="9"/>
  <c r="CA10" i="9"/>
  <c r="BZ10" i="9"/>
  <c r="BX10" i="9"/>
  <c r="BV10" i="9"/>
  <c r="N10" i="9"/>
  <c r="BY10" i="9"/>
  <c r="BW10" i="9"/>
  <c r="BU10" i="9"/>
  <c r="BT10" i="9"/>
  <c r="BP10" i="9" l="1"/>
  <c r="BO10" i="9"/>
  <c r="BN10" i="9"/>
  <c r="BM10" i="9"/>
  <c r="BL10" i="9"/>
  <c r="BK10" i="9"/>
  <c r="BJ10" i="9"/>
  <c r="BI10" i="9"/>
  <c r="BH10" i="9"/>
  <c r="BS10" i="9"/>
  <c r="BR10" i="9"/>
  <c r="BQ10" i="9"/>
  <c r="BG9" i="9" l="1"/>
  <c r="CR9" i="9" s="1"/>
  <c r="BF9" i="9"/>
  <c r="CQ9" i="9" s="1"/>
  <c r="BE9" i="9"/>
  <c r="CP9" i="9" s="1"/>
  <c r="BD9" i="9"/>
  <c r="CO9" i="9" s="1"/>
  <c r="BC9" i="9"/>
  <c r="BB9" i="9"/>
  <c r="BA9" i="9"/>
  <c r="AZ9" i="9"/>
  <c r="AY9" i="9"/>
  <c r="AO9" i="9"/>
  <c r="AN9" i="9"/>
  <c r="AM9" i="9"/>
  <c r="AL9" i="9"/>
  <c r="AK9" i="9"/>
  <c r="AJ9" i="9"/>
  <c r="AI9" i="9"/>
  <c r="AH9" i="9"/>
  <c r="AG9" i="9"/>
  <c r="M9" i="9"/>
  <c r="CC9" i="9" l="1"/>
  <c r="BV9" i="9"/>
  <c r="N9" i="9"/>
  <c r="CA9" i="9"/>
  <c r="BZ9" i="9"/>
  <c r="BY9" i="9"/>
  <c r="BU9" i="9"/>
  <c r="BX9" i="9"/>
  <c r="BT9" i="9"/>
  <c r="BW9" i="9"/>
  <c r="CB9" i="9"/>
  <c r="BM5" i="9"/>
  <c r="BN5" i="9" s="1"/>
  <c r="AZ5" i="9"/>
  <c r="BA5" i="9" s="1"/>
  <c r="BB5" i="9" s="1"/>
  <c r="BC5" i="9" s="1"/>
  <c r="AQ5" i="9"/>
  <c r="AR5" i="9" s="1"/>
  <c r="AS5" i="9" s="1"/>
  <c r="AT5" i="9" s="1"/>
  <c r="AH5" i="9"/>
  <c r="AI5" i="9" s="1"/>
  <c r="AJ5" i="9" s="1"/>
  <c r="AK5" i="9" s="1"/>
  <c r="Y5" i="9"/>
  <c r="Z5" i="9" s="1"/>
  <c r="AA5" i="9" s="1"/>
  <c r="AB5" i="9" s="1"/>
  <c r="P5" i="9"/>
  <c r="Q5" i="9" s="1"/>
  <c r="R5" i="9" s="1"/>
  <c r="S5" i="9" s="1"/>
  <c r="D4" i="9"/>
  <c r="DV1" i="9"/>
  <c r="CN1" i="9"/>
  <c r="F1" i="9"/>
  <c r="DU2" i="9" s="1"/>
  <c r="DV2" i="9" l="1"/>
  <c r="DV11" i="9" s="1"/>
  <c r="EF15" i="9"/>
  <c r="EK15" i="9"/>
  <c r="EH15" i="9"/>
  <c r="DU15" i="9"/>
  <c r="DU14" i="9"/>
  <c r="DU12" i="9"/>
  <c r="DU11" i="9"/>
  <c r="DU10" i="9"/>
  <c r="DU9" i="9"/>
  <c r="DW1" i="9"/>
  <c r="BP9" i="9"/>
  <c r="BO9" i="9"/>
  <c r="BR9" i="9"/>
  <c r="BN9" i="9"/>
  <c r="BM9" i="9"/>
  <c r="BL9" i="9"/>
  <c r="BK9" i="9"/>
  <c r="BI9" i="9"/>
  <c r="BH9" i="9"/>
  <c r="BJ9" i="9"/>
  <c r="BS9" i="9"/>
  <c r="BQ9" i="9"/>
  <c r="DV14" i="9" l="1"/>
  <c r="DV12" i="9"/>
  <c r="DV9" i="9"/>
  <c r="DV10" i="9"/>
  <c r="DV15" i="9"/>
  <c r="DW2" i="9"/>
  <c r="DX1" i="9"/>
  <c r="DX2" i="9" s="1"/>
  <c r="EG15" i="9"/>
  <c r="DX15" i="9" l="1"/>
  <c r="DX14" i="9"/>
  <c r="DX12" i="9"/>
  <c r="DX11" i="9"/>
  <c r="DX10" i="9"/>
  <c r="DX9" i="9"/>
  <c r="DW15" i="9"/>
  <c r="EL15" i="9" s="1"/>
  <c r="EJ15" i="9" s="1"/>
  <c r="DW14" i="9"/>
  <c r="DW12" i="9"/>
  <c r="DW11" i="9"/>
  <c r="DW10" i="9"/>
  <c r="DW9" i="9"/>
  <c r="EK16" i="9" l="1"/>
  <c r="EH16" i="9"/>
  <c r="EF16" i="9"/>
  <c r="DU16" i="9"/>
  <c r="DV16" i="9"/>
  <c r="DW16" i="9"/>
  <c r="EL16" i="9" s="1"/>
  <c r="DX16" i="9"/>
  <c r="EG16" i="9" l="1"/>
  <c r="EJ16" i="9"/>
  <c r="EI16" i="9" s="1"/>
  <c r="DV1" i="11" l="1"/>
  <c r="DW1" i="11" s="1"/>
  <c r="CN1" i="11"/>
  <c r="F1" i="11"/>
  <c r="DU2" i="11" s="1"/>
  <c r="DW2" i="11" l="1"/>
  <c r="DX1" i="11"/>
  <c r="DX2" i="11" s="1"/>
  <c r="DV2" i="11"/>
  <c r="D23" i="5" l="1"/>
  <c r="D13" i="5" l="1"/>
  <c r="H88" i="5" l="1"/>
  <c r="F88" i="5"/>
  <c r="E88" i="5"/>
  <c r="D88" i="5"/>
  <c r="C88" i="5"/>
  <c r="G84" i="5" l="1"/>
  <c r="H84" i="5"/>
  <c r="E84" i="5"/>
  <c r="C84" i="5"/>
  <c r="F84" i="5"/>
  <c r="D84" i="5"/>
  <c r="G87" i="5"/>
  <c r="F87" i="5"/>
  <c r="H87" i="5"/>
  <c r="E87" i="5"/>
  <c r="D87" i="5"/>
  <c r="G39" i="5" a="1"/>
  <c r="G39" i="5" s="1"/>
  <c r="G45" i="5" s="1"/>
  <c r="G51" i="5" s="1"/>
  <c r="C39" i="5" a="1"/>
  <c r="C39" i="5" s="1"/>
  <c r="C61" i="5" s="1"/>
  <c r="C67" i="5" s="1"/>
  <c r="C73" i="5" s="1"/>
  <c r="F39" i="5" a="1"/>
  <c r="F39" i="5" s="1"/>
  <c r="H39" i="5" a="1"/>
  <c r="H39" i="5" s="1"/>
  <c r="E39" i="5" a="1"/>
  <c r="E39" i="5" s="1"/>
  <c r="E61" i="5" s="1"/>
  <c r="E67" i="5" s="1"/>
  <c r="E73" i="5" s="1"/>
  <c r="F13" i="5"/>
  <c r="H13" i="5"/>
  <c r="E13" i="5"/>
  <c r="G5" i="5"/>
  <c r="F5" i="5"/>
  <c r="H5" i="5"/>
  <c r="E5" i="5"/>
  <c r="D5" i="5"/>
  <c r="D39" i="5" l="1" a="1"/>
  <c r="D39" i="5" s="1"/>
  <c r="D61" i="5" s="1"/>
  <c r="D67" i="5" s="1"/>
  <c r="D73" i="5" s="1"/>
  <c r="G56" i="5"/>
  <c r="G18" i="5" s="1"/>
  <c r="H63" i="5"/>
  <c r="H69" i="5" s="1"/>
  <c r="H75" i="5" s="1"/>
  <c r="F63" i="5"/>
  <c r="F69" i="5" s="1"/>
  <c r="F75" i="5" s="1"/>
  <c r="H64" i="5"/>
  <c r="H70" i="5" s="1"/>
  <c r="H76" i="5" s="1"/>
  <c r="F46" i="5"/>
  <c r="F52" i="5" s="1"/>
  <c r="E64" i="5"/>
  <c r="E70" i="5" s="1"/>
  <c r="E76" i="5" s="1"/>
  <c r="H45" i="5"/>
  <c r="H51" i="5" s="1"/>
  <c r="F45" i="5"/>
  <c r="F51" i="5" s="1"/>
  <c r="E63" i="5"/>
  <c r="E69" i="5" s="1"/>
  <c r="E75" i="5" s="1"/>
  <c r="F62" i="5"/>
  <c r="F68" i="5" s="1"/>
  <c r="F74" i="5" s="1"/>
  <c r="E47" i="5"/>
  <c r="E53" i="5" s="1"/>
  <c r="H62" i="5"/>
  <c r="H68" i="5" s="1"/>
  <c r="H74" i="5" s="1"/>
  <c r="E62" i="5"/>
  <c r="E68" i="5" s="1"/>
  <c r="E74" i="5" s="1"/>
  <c r="F61" i="5"/>
  <c r="F67" i="5" s="1"/>
  <c r="F73" i="5" s="1"/>
  <c r="H61" i="5"/>
  <c r="H67" i="5" s="1"/>
  <c r="H73" i="5" s="1"/>
  <c r="H46" i="5"/>
  <c r="H52" i="5" s="1"/>
  <c r="G63" i="5"/>
  <c r="G69" i="5" s="1"/>
  <c r="G75" i="5" s="1"/>
  <c r="H48" i="5"/>
  <c r="H54" i="5" s="1"/>
  <c r="G61" i="5"/>
  <c r="G67" i="5" s="1"/>
  <c r="G73" i="5" s="1"/>
  <c r="G46" i="5"/>
  <c r="G52" i="5" s="1"/>
  <c r="C46" i="5"/>
  <c r="C52" i="5" s="1"/>
  <c r="C63" i="5"/>
  <c r="C69" i="5" s="1"/>
  <c r="C75" i="5" s="1"/>
  <c r="C62" i="5"/>
  <c r="C68" i="5" s="1"/>
  <c r="C74" i="5" s="1"/>
  <c r="E48" i="5"/>
  <c r="E54" i="5" s="1"/>
  <c r="G47" i="5"/>
  <c r="G53" i="5" s="1"/>
  <c r="C45" i="5"/>
  <c r="C51" i="5" s="1"/>
  <c r="E45" i="5"/>
  <c r="E51" i="5" s="1"/>
  <c r="G48" i="5"/>
  <c r="G54" i="5" s="1"/>
  <c r="C48" i="5"/>
  <c r="C54" i="5" s="1"/>
  <c r="G62" i="5"/>
  <c r="G68" i="5" s="1"/>
  <c r="G74" i="5" s="1"/>
  <c r="F48" i="5"/>
  <c r="F54" i="5" s="1"/>
  <c r="C47" i="5"/>
  <c r="C53" i="5" s="1"/>
  <c r="F47" i="5"/>
  <c r="F53" i="5" s="1"/>
  <c r="H47" i="5"/>
  <c r="H53" i="5" s="1"/>
  <c r="G64" i="5"/>
  <c r="G70" i="5" s="1"/>
  <c r="G76" i="5" s="1"/>
  <c r="E46" i="5"/>
  <c r="E52" i="5" s="1"/>
  <c r="C64" i="5"/>
  <c r="C70" i="5" s="1"/>
  <c r="C76" i="5" s="1"/>
  <c r="F64" i="5"/>
  <c r="F70" i="5" s="1"/>
  <c r="F76" i="5" s="1"/>
  <c r="D47" i="5" l="1"/>
  <c r="D53" i="5" s="1"/>
  <c r="D45" i="5"/>
  <c r="D51" i="5" s="1"/>
  <c r="D48" i="5"/>
  <c r="D54" i="5" s="1"/>
  <c r="D63" i="5"/>
  <c r="D69" i="5" s="1"/>
  <c r="D75" i="5" s="1"/>
  <c r="D64" i="5"/>
  <c r="D70" i="5" s="1"/>
  <c r="D76" i="5" s="1"/>
  <c r="D62" i="5"/>
  <c r="D68" i="5" s="1"/>
  <c r="D74" i="5" s="1"/>
  <c r="D46" i="5"/>
  <c r="D52" i="5" s="1"/>
  <c r="G78" i="5"/>
  <c r="G26" i="5" s="1"/>
  <c r="G20" i="5"/>
  <c r="G19" i="5"/>
  <c r="G21" i="5"/>
  <c r="G29" i="5" l="1"/>
  <c r="G28" i="5"/>
  <c r="G27" i="5"/>
  <c r="D56" i="5"/>
  <c r="D78" i="5" l="1"/>
  <c r="D18" i="5"/>
  <c r="D21" i="5"/>
  <c r="D19" i="5"/>
  <c r="D20" i="5"/>
  <c r="D27" i="5" l="1"/>
  <c r="D28" i="5"/>
  <c r="D29" i="5"/>
  <c r="D26" i="5"/>
  <c r="C56" i="5" l="1"/>
  <c r="C78" i="5" l="1"/>
  <c r="C18" i="5"/>
  <c r="C20" i="5"/>
  <c r="C19" i="5"/>
  <c r="C21" i="5"/>
  <c r="C26" i="5" l="1"/>
  <c r="C27" i="5"/>
  <c r="C28" i="5"/>
  <c r="C29" i="5"/>
  <c r="F56" i="5" l="1"/>
  <c r="F10" i="5" l="1" a="1"/>
  <c r="F10" i="5" s="1"/>
  <c r="F78" i="5"/>
  <c r="F18" i="5"/>
  <c r="F20" i="5"/>
  <c r="F19" i="5"/>
  <c r="F21" i="5"/>
  <c r="F27" i="5" l="1"/>
  <c r="F28" i="5"/>
  <c r="F29" i="5"/>
  <c r="F26" i="5"/>
  <c r="H56" i="5" l="1"/>
  <c r="H78" i="5" l="1"/>
  <c r="H18" i="5"/>
  <c r="H20" i="5"/>
  <c r="H19" i="5"/>
  <c r="H21" i="5"/>
  <c r="H28" i="5" l="1"/>
  <c r="H26" i="5"/>
  <c r="H27" i="5"/>
  <c r="H29" i="5"/>
  <c r="E56" i="5" l="1"/>
  <c r="E78" i="5" l="1"/>
  <c r="E18" i="5"/>
  <c r="E20" i="5"/>
  <c r="E19" i="5"/>
  <c r="E21" i="5"/>
  <c r="E26" i="5" l="1"/>
  <c r="E27" i="5"/>
  <c r="E28" i="5"/>
  <c r="E29" i="5"/>
  <c r="F82" i="5" l="1"/>
  <c r="F32" i="5" s="1"/>
  <c r="F83" i="5" l="1"/>
  <c r="F4" i="5"/>
  <c r="F85" i="5" l="1"/>
  <c r="F33" i="5"/>
  <c r="C5" i="5"/>
  <c r="F34" i="5" l="1"/>
  <c r="F35" i="5"/>
  <c r="C87" i="5"/>
  <c r="C8" i="5" l="1" a="1"/>
  <c r="C8" i="5" s="1"/>
  <c r="C82" i="5"/>
  <c r="C32" i="5" s="1"/>
  <c r="C4" i="5"/>
  <c r="C83" i="5" l="1"/>
  <c r="C85" i="5" l="1"/>
  <c r="C33" i="5"/>
  <c r="D82" i="5"/>
  <c r="D32" i="5" s="1"/>
  <c r="D83" i="5" l="1"/>
  <c r="C35" i="5"/>
  <c r="C34" i="5"/>
  <c r="D8" i="5" a="1"/>
  <c r="D8" i="5" s="1"/>
  <c r="D4" i="5"/>
  <c r="D85" i="5" l="1"/>
  <c r="D33" i="5"/>
  <c r="D34" i="5" l="1"/>
  <c r="D35" i="5"/>
  <c r="E82" i="5" l="1"/>
  <c r="E32" i="5" s="1"/>
  <c r="E83" i="5"/>
  <c r="E8" i="5" a="1"/>
  <c r="E8" i="5" s="1"/>
  <c r="E85" i="5" l="1"/>
  <c r="E34" i="5" s="1"/>
  <c r="E33" i="5"/>
  <c r="E4" i="5"/>
  <c r="E35" i="5" l="1"/>
  <c r="G88" i="5"/>
  <c r="G82" i="5"/>
  <c r="G32" i="5" s="1"/>
  <c r="G83" i="5"/>
  <c r="G8" i="5" a="1"/>
  <c r="G8" i="5" s="1"/>
  <c r="G85" i="5" l="1"/>
  <c r="G34" i="5" s="1"/>
  <c r="G33" i="5"/>
  <c r="G4" i="5"/>
  <c r="G35" i="5" l="1"/>
  <c r="H83" i="5"/>
  <c r="H82" i="5"/>
  <c r="H8" i="5" a="1"/>
  <c r="H8" i="5" s="1"/>
  <c r="H85" i="5" l="1"/>
  <c r="H33" i="5"/>
  <c r="H32" i="5"/>
  <c r="H4" i="5"/>
  <c r="H34" i="5" l="1"/>
  <c r="H3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Chhokra, Shub</author>
    <author>Shobar, Grant</author>
    <author>Marinucci, Michele</author>
    <author>Kumar, Nikhil</author>
    <author>Gould, Robert</author>
  </authors>
  <commentList>
    <comment ref="AP7" authorId="0" shapeId="0" xr:uid="{0905AE1A-FBAB-4F19-9E75-ECF93BC7C6B3}">
      <text>
        <r>
          <rPr>
            <b/>
            <sz val="9"/>
            <color indexed="81"/>
            <rFont val="Tahoma"/>
            <family val="2"/>
          </rPr>
          <t>Chhokra, Shub:</t>
        </r>
        <r>
          <rPr>
            <sz val="9"/>
            <color indexed="81"/>
            <rFont val="Tahoma"/>
            <family val="2"/>
          </rPr>
          <t xml:space="preserve">
PF assuming 17% tax, 40% adj EBIT margin</t>
        </r>
      </text>
    </comment>
    <comment ref="AB8" authorId="1" shapeId="0" xr:uid="{E1725018-F2C5-4909-918E-A5086F4C1E41}">
      <text>
        <r>
          <rPr>
            <b/>
            <sz val="9"/>
            <color indexed="81"/>
            <rFont val="Tahoma"/>
            <family val="2"/>
          </rPr>
          <t>Shobar, Grant:</t>
        </r>
        <r>
          <rPr>
            <sz val="9"/>
            <color indexed="81"/>
            <rFont val="Tahoma"/>
            <family val="2"/>
          </rPr>
          <t xml:space="preserve">
not modeled; assume slight decline over time due to depreciation</t>
        </r>
      </text>
    </comment>
    <comment ref="CS8" authorId="1" shapeId="0" xr:uid="{A6B39D1B-D337-40FB-A37A-6321E0E9F915}">
      <text>
        <r>
          <rPr>
            <b/>
            <sz val="9"/>
            <color indexed="81"/>
            <rFont val="Tahoma"/>
            <family val="2"/>
          </rPr>
          <t>Shobar, Grant:</t>
        </r>
        <r>
          <rPr>
            <sz val="9"/>
            <color indexed="81"/>
            <rFont val="Tahoma"/>
            <family val="2"/>
          </rPr>
          <t xml:space="preserve">
OpenAI stake value</t>
        </r>
      </text>
    </comment>
    <comment ref="K9" authorId="2" shapeId="0" xr:uid="{2EDE6998-F398-4268-A053-5331096CEE76}">
      <text>
        <r>
          <rPr>
            <b/>
            <sz val="9"/>
            <color indexed="81"/>
            <rFont val="Tahoma"/>
            <family val="2"/>
          </rPr>
          <t>Marinucci, Michele:</t>
        </r>
        <r>
          <rPr>
            <sz val="9"/>
            <color indexed="81"/>
            <rFont val="Tahoma"/>
            <family val="2"/>
          </rPr>
          <t xml:space="preserve">
https://www.bamsec.com/filing/110465925017815/1?cik=1000184&amp;hl=503694:503699&amp;hl_id=nj9stldu7x</t>
        </r>
      </text>
    </comment>
    <comment ref="FG13" authorId="3" shapeId="0" xr:uid="{6615D699-5F70-4ADF-A95A-ACEC3C20C8E2}">
      <text>
        <r>
          <rPr>
            <b/>
            <sz val="9"/>
            <color indexed="81"/>
            <rFont val="Tahoma"/>
            <family val="2"/>
          </rPr>
          <t>Kumar, Nikhil:</t>
        </r>
        <r>
          <rPr>
            <sz val="9"/>
            <color indexed="81"/>
            <rFont val="Tahoma"/>
            <family val="2"/>
          </rPr>
          <t xml:space="preserve">
search</t>
        </r>
      </text>
    </comment>
    <comment ref="K18" authorId="4" shapeId="0" xr:uid="{2C7A58B3-19A9-430B-800E-B8E1D96C8C9C}">
      <text>
        <r>
          <rPr>
            <b/>
            <sz val="9"/>
            <color indexed="81"/>
            <rFont val="Tahoma"/>
            <family val="2"/>
          </rPr>
          <t>Gould, Robert:</t>
        </r>
        <r>
          <rPr>
            <sz val="9"/>
            <color indexed="81"/>
            <rFont val="Tahoma"/>
            <family val="2"/>
          </rPr>
          <t xml:space="preserve">
Pro forma for Zonda acquisition</t>
        </r>
      </text>
    </comment>
    <comment ref="AF18" authorId="0" shapeId="0" xr:uid="{97AAE3C4-2E7F-4210-8297-3F7CF079E436}">
      <text>
        <r>
          <rPr>
            <b/>
            <sz val="9"/>
            <color indexed="81"/>
            <rFont val="Tahoma"/>
            <family val="2"/>
          </rPr>
          <t>Chhokra, Shub:</t>
        </r>
        <r>
          <rPr>
            <sz val="9"/>
            <color indexed="81"/>
            <rFont val="Tahoma"/>
            <family val="2"/>
          </rPr>
          <t xml:space="preserve">
Assumption, not in Mendo model.</t>
        </r>
      </text>
    </comment>
    <comment ref="AF20" authorId="0" shapeId="0" xr:uid="{6946CAB9-5299-42F7-BFE5-263973CECC12}">
      <text>
        <r>
          <rPr>
            <b/>
            <sz val="9"/>
            <color indexed="81"/>
            <rFont val="Tahoma"/>
            <family val="2"/>
          </rPr>
          <t>Chhokra, Shub:</t>
        </r>
        <r>
          <rPr>
            <sz val="9"/>
            <color indexed="81"/>
            <rFont val="Tahoma"/>
            <family val="2"/>
          </rPr>
          <t xml:space="preserve">
Assumption, not in Mendo model.</t>
        </r>
      </text>
    </comment>
    <comment ref="AF21" authorId="0" shapeId="0" xr:uid="{F5F137D6-A4DE-423D-9AD2-264F07F27C88}">
      <text>
        <r>
          <rPr>
            <b/>
            <sz val="9"/>
            <color indexed="81"/>
            <rFont val="Tahoma"/>
            <family val="2"/>
          </rPr>
          <t>Chhokra, Shub:</t>
        </r>
        <r>
          <rPr>
            <sz val="9"/>
            <color indexed="81"/>
            <rFont val="Tahoma"/>
            <family val="2"/>
          </rPr>
          <t xml:space="preserve">
Assumption, not in Mendo model.</t>
        </r>
      </text>
    </comment>
    <comment ref="AY21" authorId="0" shapeId="0" xr:uid="{E24ED354-621F-4D71-8421-18D693B1B306}">
      <text>
        <r>
          <rPr>
            <b/>
            <sz val="9"/>
            <color indexed="81"/>
            <rFont val="Tahoma"/>
            <family val="2"/>
          </rPr>
          <t>Chhokra, Shub:</t>
        </r>
        <r>
          <rPr>
            <sz val="9"/>
            <color indexed="81"/>
            <rFont val="Tahoma"/>
            <family val="2"/>
          </rPr>
          <t xml:space="preserve">
Mendo EPS not in model. SBC ~2% of revs so not big deal.</t>
        </r>
      </text>
    </comment>
    <comment ref="AF23" authorId="0" shapeId="0" xr:uid="{4745F545-F047-4412-9C51-ACD7B340EDE8}">
      <text>
        <r>
          <rPr>
            <b/>
            <sz val="9"/>
            <color indexed="81"/>
            <rFont val="Tahoma"/>
            <family val="2"/>
          </rPr>
          <t>Chhokra, Shub:</t>
        </r>
        <r>
          <rPr>
            <sz val="9"/>
            <color indexed="81"/>
            <rFont val="Tahoma"/>
            <family val="2"/>
          </rPr>
          <t xml:space="preserve">
Assumption, not in Mendo model.</t>
        </r>
      </text>
    </comment>
    <comment ref="W27" authorId="0" shapeId="0" xr:uid="{A34FABD6-32A7-445E-9D27-A646C66E382F}">
      <text>
        <r>
          <rPr>
            <b/>
            <sz val="9"/>
            <color indexed="81"/>
            <rFont val="Tahoma"/>
            <family val="2"/>
          </rPr>
          <t>Chhokra, Shub:</t>
        </r>
        <r>
          <rPr>
            <sz val="9"/>
            <color indexed="81"/>
            <rFont val="Tahoma"/>
            <family val="2"/>
          </rPr>
          <t xml:space="preserve">
Dummy, driven by 0.85 GM on GP</t>
        </r>
      </text>
    </comment>
    <comment ref="AF28" authorId="0" shapeId="0" xr:uid="{20943CAF-01F0-4717-AED6-82450B253B8A}">
      <text>
        <r>
          <rPr>
            <b/>
            <sz val="9"/>
            <color indexed="81"/>
            <rFont val="Tahoma"/>
            <family val="2"/>
          </rPr>
          <t>Chhokra, Shub:</t>
        </r>
        <r>
          <rPr>
            <sz val="9"/>
            <color indexed="81"/>
            <rFont val="Tahoma"/>
            <family val="2"/>
          </rPr>
          <t xml:space="preserve">
Assumption, not in Mendo model.</t>
        </r>
      </text>
    </comment>
    <comment ref="I29" authorId="0" shapeId="0" xr:uid="{F17DBF92-A5A4-4BBD-B088-93FF18C3710E}">
      <text>
        <r>
          <rPr>
            <b/>
            <sz val="9"/>
            <color indexed="81"/>
            <rFont val="Tahoma"/>
            <family val="2"/>
          </rPr>
          <t>Chhokra, Shub:</t>
        </r>
        <r>
          <rPr>
            <sz val="9"/>
            <color indexed="81"/>
            <rFont val="Tahoma"/>
            <family val="2"/>
          </rPr>
          <t xml:space="preserve">
Mendo FDSO
</t>
        </r>
      </text>
    </comment>
    <comment ref="EF29" authorId="0" shapeId="0" xr:uid="{B091F46F-BD22-4DB1-9553-AC7C4720B6E3}">
      <text>
        <r>
          <rPr>
            <b/>
            <sz val="9"/>
            <color indexed="81"/>
            <rFont val="Tahoma"/>
            <family val="2"/>
          </rPr>
          <t>Chhokra, Shub:</t>
        </r>
        <r>
          <rPr>
            <sz val="9"/>
            <color indexed="81"/>
            <rFont val="Tahoma"/>
            <family val="2"/>
          </rPr>
          <t xml:space="preserve">
Some SBC wonkiness here - should be more like 4-5 normalized via 80% GR</t>
        </r>
      </text>
    </comment>
    <comment ref="I47" authorId="0" shapeId="0" xr:uid="{6E2D0140-E588-47D7-8659-FF15318D8037}">
      <text>
        <r>
          <rPr>
            <b/>
            <sz val="9"/>
            <color indexed="81"/>
            <rFont val="Tahoma"/>
            <family val="2"/>
          </rPr>
          <t>Chhokra, Shub:</t>
        </r>
        <r>
          <rPr>
            <sz val="9"/>
            <color indexed="81"/>
            <rFont val="Tahoma"/>
            <family val="2"/>
          </rPr>
          <t xml:space="preserve">
Mendo FDSO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Chhokra, Shub</author>
  </authors>
  <commentList>
    <comment ref="AF9" authorId="0" shapeId="0" xr:uid="{3ACC2787-6FCF-4062-B5CA-1EA616996B62}">
      <text>
        <r>
          <rPr>
            <b/>
            <sz val="9"/>
            <color indexed="81"/>
            <rFont val="Tahoma"/>
            <family val="2"/>
          </rPr>
          <t>Chhokra, Shub:</t>
        </r>
        <r>
          <rPr>
            <sz val="9"/>
            <color indexed="81"/>
            <rFont val="Tahoma"/>
            <family val="2"/>
          </rPr>
          <t xml:space="preserve">
Assumption, not in Mendo model.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Kumar, Nikhil</author>
    <author>Chhokra, Shub</author>
  </authors>
  <commentList>
    <comment ref="C13" authorId="0" shapeId="0" xr:uid="{7076E153-803A-40E1-BF0D-2DA5AFB1EAA1}">
      <text>
        <r>
          <rPr>
            <b/>
            <sz val="9"/>
            <color indexed="81"/>
            <rFont val="Tahoma"/>
            <family val="2"/>
          </rPr>
          <t>Kumar, Nikhil:</t>
        </r>
        <r>
          <rPr>
            <sz val="9"/>
            <color indexed="81"/>
            <rFont val="Tahoma"/>
            <family val="2"/>
          </rPr>
          <t xml:space="preserve">
~40% non-GAAP, SBC &lt;10% Revs</t>
        </r>
      </text>
    </comment>
    <comment ref="D13" authorId="0" shapeId="0" xr:uid="{51DB20C0-73BD-43F2-B5AC-EDB0C68436D2}">
      <text>
        <r>
          <rPr>
            <b/>
            <sz val="9"/>
            <color indexed="81"/>
            <rFont val="Tahoma"/>
            <family val="2"/>
          </rPr>
          <t>Kumar, Nikhil:</t>
        </r>
        <r>
          <rPr>
            <sz val="9"/>
            <color indexed="81"/>
            <rFont val="Tahoma"/>
            <family val="2"/>
          </rPr>
          <t xml:space="preserve">
45% GP target ("40%+") less LDD SBC target
times 0.85 in revs space</t>
        </r>
      </text>
    </comment>
    <comment ref="E13" authorId="1" shapeId="0" xr:uid="{34A4E0B0-35A2-490E-9064-0FEF3CA53EFF}">
      <text>
        <r>
          <rPr>
            <b/>
            <sz val="9"/>
            <color indexed="81"/>
            <rFont val="Tahoma"/>
            <family val="2"/>
          </rPr>
          <t>Chhokra, Shub:</t>
        </r>
        <r>
          <rPr>
            <sz val="9"/>
            <color indexed="81"/>
            <rFont val="Tahoma"/>
            <family val="2"/>
          </rPr>
          <t xml:space="preserve">
45% LT target ex txn model and &lt;10% SBC target</t>
        </r>
      </text>
    </comment>
    <comment ref="F13" authorId="1" shapeId="0" xr:uid="{1B04E887-8AF8-4515-8370-D5233B1BE412}">
      <text>
        <r>
          <rPr>
            <b/>
            <sz val="9"/>
            <color indexed="81"/>
            <rFont val="Tahoma"/>
            <family val="2"/>
          </rPr>
          <t>Chhokra, Shub:</t>
        </r>
        <r>
          <rPr>
            <sz val="9"/>
            <color indexed="81"/>
            <rFont val="Tahoma"/>
            <family val="2"/>
          </rPr>
          <t xml:space="preserve">
40% LT FCF margin target (should be same as ebit) less 10% SBC target (consistent with 1-3% dilution)</t>
        </r>
      </text>
    </comment>
    <comment ref="G13" authorId="0" shapeId="0" xr:uid="{C76B21F2-E2E0-4FDA-B32E-F637A48C3F4C}">
      <text>
        <r>
          <rPr>
            <b/>
            <sz val="9"/>
            <color indexed="81"/>
            <rFont val="Tahoma"/>
            <family val="2"/>
          </rPr>
          <t>Kumar, Nikhil:</t>
        </r>
        <r>
          <rPr>
            <sz val="9"/>
            <color indexed="81"/>
            <rFont val="Tahoma"/>
            <family val="2"/>
          </rPr>
          <t xml:space="preserve">
assume 40%, 2% SBC; we can confirm with AR</t>
        </r>
      </text>
    </comment>
    <comment ref="H13" authorId="1" shapeId="0" xr:uid="{727A8B8A-4A52-488E-B9A1-BFC4EAA82BE5}">
      <text>
        <r>
          <rPr>
            <b/>
            <sz val="9"/>
            <color indexed="81"/>
            <rFont val="Tahoma"/>
            <family val="2"/>
          </rPr>
          <t>Chhokra, Shub:</t>
        </r>
        <r>
          <rPr>
            <sz val="9"/>
            <color indexed="81"/>
            <rFont val="Tahoma"/>
            <family val="2"/>
          </rPr>
          <t xml:space="preserve">
35% mid growth margin less 13.5% SBC margin target</t>
        </r>
      </text>
    </comment>
    <comment ref="E14" authorId="1" shapeId="0" xr:uid="{66AD4398-D88D-4CEE-B348-8A0FC69A3B72}">
      <text>
        <r>
          <rPr>
            <b/>
            <sz val="9"/>
            <color indexed="81"/>
            <rFont val="Tahoma"/>
            <family val="2"/>
          </rPr>
          <t>Chhokra, Shub:</t>
        </r>
        <r>
          <rPr>
            <sz val="9"/>
            <color indexed="81"/>
            <rFont val="Tahoma"/>
            <family val="2"/>
          </rPr>
          <t xml:space="preserve">
FY29</t>
        </r>
      </text>
    </comment>
    <comment ref="H14" authorId="1" shapeId="0" xr:uid="{62A9DBB4-DEBD-4EEE-BA30-006108DC00C8}">
      <text>
        <r>
          <rPr>
            <b/>
            <sz val="9"/>
            <color indexed="81"/>
            <rFont val="Tahoma"/>
            <family val="2"/>
          </rPr>
          <t>Chhokra, Shub:</t>
        </r>
        <r>
          <rPr>
            <sz val="9"/>
            <color indexed="81"/>
            <rFont val="Tahoma"/>
            <family val="2"/>
          </rPr>
          <t xml:space="preserve">
FY28</t>
        </r>
      </text>
    </comment>
    <comment ref="D23" authorId="0" shapeId="0" xr:uid="{BBE51618-9845-47A5-8EFD-8CE9FC69EE3A}">
      <text>
        <r>
          <rPr>
            <b/>
            <sz val="9"/>
            <color indexed="81"/>
            <rFont val="Tahoma"/>
            <family val="2"/>
          </rPr>
          <t>Kumar, Nikhil:</t>
        </r>
        <r>
          <rPr>
            <sz val="9"/>
            <color indexed="81"/>
            <rFont val="Tahoma"/>
            <family val="2"/>
          </rPr>
          <t xml:space="preserve">
assume 55% non-GAAP % of GP;
While our core business is
already operating at our long-term margin profile, the incremental margins are tracking higher. -- Q3 call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Chhokra, Shub</author>
    <author>Shobar, Grant</author>
    <author>Marinucci, Michele</author>
  </authors>
  <commentList>
    <comment ref="AF6" authorId="0" shapeId="0" xr:uid="{69E5A943-F634-4182-B2B4-4B6B14E4EF17}">
      <text>
        <r>
          <rPr>
            <b/>
            <sz val="9"/>
            <color indexed="81"/>
            <rFont val="Tahoma"/>
            <family val="2"/>
          </rPr>
          <t>Chhokra, Shub:</t>
        </r>
        <r>
          <rPr>
            <sz val="9"/>
            <color indexed="81"/>
            <rFont val="Tahoma"/>
            <family val="2"/>
          </rPr>
          <t xml:space="preserve">
Assumption, not in Mendo model.</t>
        </r>
      </text>
    </comment>
    <comment ref="AF16" authorId="0" shapeId="0" xr:uid="{75F0A837-3C2B-4BA8-A921-69D2B04B57F9}">
      <text>
        <r>
          <rPr>
            <b/>
            <sz val="9"/>
            <color indexed="81"/>
            <rFont val="Tahoma"/>
            <family val="2"/>
          </rPr>
          <t>Chhokra, Shub:</t>
        </r>
        <r>
          <rPr>
            <sz val="9"/>
            <color indexed="81"/>
            <rFont val="Tahoma"/>
            <family val="2"/>
          </rPr>
          <t xml:space="preserve">
Assumption, not in Mendo model.</t>
        </r>
      </text>
    </comment>
    <comment ref="I17" authorId="0" shapeId="0" xr:uid="{63C15CCD-A5C4-4DDE-9F26-B3F1517628AE}">
      <text>
        <r>
          <rPr>
            <b/>
            <sz val="9"/>
            <color indexed="81"/>
            <rFont val="Tahoma"/>
            <family val="2"/>
          </rPr>
          <t>Chhokra, Shub:</t>
        </r>
        <r>
          <rPr>
            <sz val="9"/>
            <color indexed="81"/>
            <rFont val="Tahoma"/>
            <family val="2"/>
          </rPr>
          <t xml:space="preserve">
Mendo FDSO</t>
        </r>
      </text>
    </comment>
    <comment ref="AP23" authorId="0" shapeId="0" xr:uid="{BDE08D39-2B3B-4C98-8313-2CE3795951B8}">
      <text>
        <r>
          <rPr>
            <b/>
            <sz val="9"/>
            <color indexed="81"/>
            <rFont val="Tahoma"/>
            <family val="2"/>
          </rPr>
          <t>Chhokra, Shub:</t>
        </r>
        <r>
          <rPr>
            <sz val="9"/>
            <color indexed="81"/>
            <rFont val="Tahoma"/>
            <family val="2"/>
          </rPr>
          <t xml:space="preserve">
PF assuming 17% tax, 40% adj EBIT margin</t>
        </r>
      </text>
    </comment>
    <comment ref="AB25" authorId="1" shapeId="0" xr:uid="{3FE3303D-7735-4A70-922A-C31CA617872E}">
      <text>
        <r>
          <rPr>
            <b/>
            <sz val="9"/>
            <color indexed="81"/>
            <rFont val="Tahoma"/>
            <family val="2"/>
          </rPr>
          <t>Shobar, Grant:</t>
        </r>
        <r>
          <rPr>
            <sz val="9"/>
            <color indexed="81"/>
            <rFont val="Tahoma"/>
            <family val="2"/>
          </rPr>
          <t xml:space="preserve">
not modeled; assume slight decline over time due to depreciation</t>
        </r>
      </text>
    </comment>
    <comment ref="CT25" authorId="1" shapeId="0" xr:uid="{B741B5CF-0F0F-486C-BA69-2AEF33867CA1}">
      <text>
        <r>
          <rPr>
            <b/>
            <sz val="9"/>
            <color indexed="81"/>
            <rFont val="Tahoma"/>
            <family val="2"/>
          </rPr>
          <t>Shobar, Grant:</t>
        </r>
        <r>
          <rPr>
            <sz val="9"/>
            <color indexed="81"/>
            <rFont val="Tahoma"/>
            <family val="2"/>
          </rPr>
          <t xml:space="preserve">
OpenAI stake value</t>
        </r>
      </text>
    </comment>
    <comment ref="AF27" authorId="0" shapeId="0" xr:uid="{4C51A844-302A-4B6B-8828-B303ABA07822}">
      <text>
        <r>
          <rPr>
            <b/>
            <sz val="9"/>
            <color indexed="81"/>
            <rFont val="Tahoma"/>
            <family val="2"/>
          </rPr>
          <t>Chhokra, Shub:</t>
        </r>
        <r>
          <rPr>
            <sz val="9"/>
            <color indexed="81"/>
            <rFont val="Tahoma"/>
            <family val="2"/>
          </rPr>
          <t xml:space="preserve">
Assumption, not in Mendo model.</t>
        </r>
      </text>
    </comment>
    <comment ref="K36" authorId="2" shapeId="0" xr:uid="{65DABFBF-7A9D-4FC4-8A76-02B71FC7653F}">
      <text>
        <r>
          <rPr>
            <b/>
            <sz val="9"/>
            <color indexed="81"/>
            <rFont val="Tahoma"/>
            <family val="2"/>
          </rPr>
          <t>Marinucci, Michele:</t>
        </r>
        <r>
          <rPr>
            <sz val="9"/>
            <color indexed="81"/>
            <rFont val="Tahoma"/>
            <family val="2"/>
          </rPr>
          <t xml:space="preserve">
https://www.bamsec.com/filing/110465925017815/1?cik=1000184&amp;hl=503694:503699&amp;hl_id=nj9stldu7x</t>
        </r>
      </text>
    </comment>
    <comment ref="AF38" authorId="0" shapeId="0" xr:uid="{27543C10-AECE-48AD-9E59-73B39DFDEFD8}">
      <text>
        <r>
          <rPr>
            <b/>
            <sz val="9"/>
            <color indexed="81"/>
            <rFont val="Tahoma"/>
            <family val="2"/>
          </rPr>
          <t>Chhokra, Shub:</t>
        </r>
        <r>
          <rPr>
            <sz val="9"/>
            <color indexed="81"/>
            <rFont val="Tahoma"/>
            <family val="2"/>
          </rPr>
          <t xml:space="preserve">
Assumption, not in Mendo model.</t>
        </r>
      </text>
    </comment>
    <comment ref="AF41" authorId="0" shapeId="0" xr:uid="{0AE77685-3476-4063-AE74-10D5F23CDE1B}">
      <text>
        <r>
          <rPr>
            <b/>
            <sz val="9"/>
            <color indexed="81"/>
            <rFont val="Tahoma"/>
            <family val="2"/>
          </rPr>
          <t>Chhokra, Shub:</t>
        </r>
        <r>
          <rPr>
            <sz val="9"/>
            <color indexed="81"/>
            <rFont val="Tahoma"/>
            <family val="2"/>
          </rPr>
          <t xml:space="preserve">
Assumption, not in Mendo model.</t>
        </r>
      </text>
    </comment>
    <comment ref="AY41" authorId="0" shapeId="0" xr:uid="{0DFC3B5B-1D77-4C8A-9E6D-0274BCF875CE}">
      <text>
        <r>
          <rPr>
            <b/>
            <sz val="9"/>
            <color indexed="81"/>
            <rFont val="Tahoma"/>
            <family val="2"/>
          </rPr>
          <t>Chhokra, Shub:</t>
        </r>
        <r>
          <rPr>
            <sz val="9"/>
            <color indexed="81"/>
            <rFont val="Tahoma"/>
            <family val="2"/>
          </rPr>
          <t xml:space="preserve">
Mendo EPS not in model. SBC ~2% of revs so not big deal.</t>
        </r>
      </text>
    </comment>
    <comment ref="I46" authorId="0" shapeId="0" xr:uid="{F1E3B48A-C6A0-476B-9775-B774E500B136}">
      <text>
        <r>
          <rPr>
            <b/>
            <sz val="9"/>
            <color indexed="81"/>
            <rFont val="Tahoma"/>
            <family val="2"/>
          </rPr>
          <t>Chhokra, Shub:</t>
        </r>
        <r>
          <rPr>
            <sz val="9"/>
            <color indexed="81"/>
            <rFont val="Tahoma"/>
            <family val="2"/>
          </rPr>
          <t xml:space="preserve">
Mendo FDSO
</t>
        </r>
      </text>
    </comment>
    <comment ref="EG46" authorId="0" shapeId="0" xr:uid="{31DC88F7-27F6-47B9-BE00-1E5467373AF2}">
      <text>
        <r>
          <rPr>
            <b/>
            <sz val="9"/>
            <color indexed="81"/>
            <rFont val="Tahoma"/>
            <family val="2"/>
          </rPr>
          <t>Chhokra, Shub:</t>
        </r>
        <r>
          <rPr>
            <sz val="9"/>
            <color indexed="81"/>
            <rFont val="Tahoma"/>
            <family val="2"/>
          </rPr>
          <t xml:space="preserve">
Some SBC wonkiness here - should be more like 4-5 normalized via 80% GR</t>
        </r>
      </text>
    </comment>
    <comment ref="W48" authorId="0" shapeId="0" xr:uid="{201C1EF8-4396-45F2-8B8A-CAA5CBF8DB6C}">
      <text>
        <r>
          <rPr>
            <b/>
            <sz val="9"/>
            <color indexed="81"/>
            <rFont val="Tahoma"/>
            <family val="2"/>
          </rPr>
          <t>Chhokra, Shub:</t>
        </r>
        <r>
          <rPr>
            <sz val="9"/>
            <color indexed="81"/>
            <rFont val="Tahoma"/>
            <family val="2"/>
          </rPr>
          <t xml:space="preserve">
Dummy, driven by 0.85 GM on GP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<sst xmlns="http://schemas.openxmlformats.org/spreadsheetml/2006/main" count="942" uniqueCount="249">
  <si>
    <t>Revs</t>
  </si>
  <si>
    <t>GM</t>
  </si>
  <si>
    <t>Adj GP</t>
  </si>
  <si>
    <t>EV / Revs</t>
  </si>
  <si>
    <t>EV / GP</t>
  </si>
  <si>
    <t>P/E (Adj, Ex SBC)</t>
  </si>
  <si>
    <t>Company</t>
  </si>
  <si>
    <t>Px</t>
  </si>
  <si>
    <t>Shares</t>
  </si>
  <si>
    <t>Cash</t>
  </si>
  <si>
    <t>Debt</t>
  </si>
  <si>
    <t>Net Debt</t>
  </si>
  <si>
    <t>EV</t>
  </si>
  <si>
    <t>2024</t>
  </si>
  <si>
    <t>2025</t>
  </si>
  <si>
    <t>2026</t>
  </si>
  <si>
    <t>2027</t>
  </si>
  <si>
    <t>WDAY US EQUITY</t>
  </si>
  <si>
    <t>WDAY</t>
  </si>
  <si>
    <t>ADSK US EQUITY</t>
  </si>
  <si>
    <t>PCOR US EQUITY</t>
  </si>
  <si>
    <t>PCOR</t>
  </si>
  <si>
    <t>TOST US EQUITY</t>
  </si>
  <si>
    <t>TOST</t>
  </si>
  <si>
    <t>n/a</t>
  </si>
  <si>
    <t>CCCS</t>
  </si>
  <si>
    <t>PTC</t>
  </si>
  <si>
    <t>IRR yrs:</t>
  </si>
  <si>
    <t>2028</t>
  </si>
  <si>
    <t>IRR</t>
  </si>
  <si>
    <t>Update</t>
  </si>
  <si>
    <t>Adj EPS</t>
  </si>
  <si>
    <t>Update by</t>
  </si>
  <si>
    <t>Notes</t>
  </si>
  <si>
    <t>3Mo ADV ($m)</t>
  </si>
  <si>
    <t>Key details</t>
  </si>
  <si>
    <t>Min Int</t>
  </si>
  <si>
    <t>ADSK</t>
  </si>
  <si>
    <t>DSY FP</t>
  </si>
  <si>
    <t>BSY</t>
  </si>
  <si>
    <t>LSEG</t>
  </si>
  <si>
    <t>MSCI</t>
  </si>
  <si>
    <t>INTU</t>
  </si>
  <si>
    <t>TYL</t>
  </si>
  <si>
    <t>APPF</t>
  </si>
  <si>
    <t>Mendo P/E</t>
  </si>
  <si>
    <t>HUBS</t>
  </si>
  <si>
    <t>2029</t>
  </si>
  <si>
    <t>2030</t>
  </si>
  <si>
    <t>PTC US EQUITY</t>
  </si>
  <si>
    <t>INTU US EQUITY</t>
  </si>
  <si>
    <t>HUBS US EQUITY</t>
  </si>
  <si>
    <t>LSEG LN EQUITY</t>
  </si>
  <si>
    <t>MSCI US EQUITY</t>
  </si>
  <si>
    <t>DSY FP EQUITY</t>
  </si>
  <si>
    <t>Mendo EPS</t>
  </si>
  <si>
    <t>DPS</t>
  </si>
  <si>
    <t>Net Cash per Share</t>
  </si>
  <si>
    <t>Set Mendo EPS = adj EPS (SBC &lt;2% revs)</t>
  </si>
  <si>
    <t>Set Mendo EPS = adj EPS (SBC &lt;3% revs)</t>
  </si>
  <si>
    <t>WADSO</t>
  </si>
  <si>
    <t>Metric</t>
  </si>
  <si>
    <t>Recur GP</t>
  </si>
  <si>
    <t>Revenue</t>
  </si>
  <si>
    <t>GP</t>
  </si>
  <si>
    <t>Target Px (old, hardcoded)</t>
  </si>
  <si>
    <t>Derived Target Px for IRR calc</t>
  </si>
  <si>
    <t>Target Multiple (Mendo EPS or GP)</t>
  </si>
  <si>
    <t>ORCL</t>
  </si>
  <si>
    <t>ORCL US EQUITY</t>
  </si>
  <si>
    <t>CCC US EQUITY</t>
  </si>
  <si>
    <t>1M</t>
  </si>
  <si>
    <t>3M</t>
  </si>
  <si>
    <t>6M</t>
  </si>
  <si>
    <t>SPX</t>
  </si>
  <si>
    <t>SPX INDEX</t>
  </si>
  <si>
    <t>GWRE</t>
  </si>
  <si>
    <t>GWRE US EQUITY</t>
  </si>
  <si>
    <t>CRM US EQUITY</t>
  </si>
  <si>
    <t>CRM</t>
  </si>
  <si>
    <t>ROP US EQUITY</t>
  </si>
  <si>
    <t>ROP</t>
  </si>
  <si>
    <t>SAP</t>
  </si>
  <si>
    <t>Set Mendo EPS = adj EPS (SBC &lt;2.5% revs)</t>
  </si>
  <si>
    <t>Set Mendo EPS = adj EPS (SBC ~5% revs)</t>
  </si>
  <si>
    <t>TRU</t>
  </si>
  <si>
    <t>EFX</t>
  </si>
  <si>
    <t>TRU US EQUITY</t>
  </si>
  <si>
    <t>EFX US EQUITY</t>
  </si>
  <si>
    <t>CSGP</t>
  </si>
  <si>
    <t>CSGP US EQUITY</t>
  </si>
  <si>
    <t>Mendo GP</t>
  </si>
  <si>
    <t>Mendo GP = Fully Ramped ARR basis GP; GWRE uses Jul FYE, CY calculated using avg.</t>
  </si>
  <si>
    <t>TYL US EQUITY</t>
  </si>
  <si>
    <t>MSFT US EQUITY</t>
  </si>
  <si>
    <t>MSFT</t>
  </si>
  <si>
    <t>EXPN</t>
  </si>
  <si>
    <t>EXPN LN EQUITY</t>
  </si>
  <si>
    <t>x</t>
  </si>
  <si>
    <t>'26-'29 CAGR</t>
  </si>
  <si>
    <t>mEPS</t>
  </si>
  <si>
    <t>SPGI</t>
  </si>
  <si>
    <t>SPGI US EQUITY</t>
  </si>
  <si>
    <t>SAP GY EQUITY</t>
  </si>
  <si>
    <t>Target GP Multiple</t>
  </si>
  <si>
    <t>Mendo P/E PF for Mendo LT Margin</t>
  </si>
  <si>
    <t>Tax</t>
  </si>
  <si>
    <t>Unspec</t>
  </si>
  <si>
    <t>Year of Target LT</t>
  </si>
  <si>
    <t>'26-'29 GP CAGR</t>
  </si>
  <si>
    <t>PF NI</t>
  </si>
  <si>
    <t>Market cap</t>
  </si>
  <si>
    <t>PF Mendo EBIT</t>
  </si>
  <si>
    <t>Mgmt PF Calcs</t>
  </si>
  <si>
    <t>Mendo PF Calcs</t>
  </si>
  <si>
    <t>Grid Numbers</t>
  </si>
  <si>
    <t>2028 EV</t>
  </si>
  <si>
    <t>2029 GP</t>
  </si>
  <si>
    <t>2028 Market Cap</t>
  </si>
  <si>
    <t>2028 Px</t>
  </si>
  <si>
    <t>2028 WADSO</t>
  </si>
  <si>
    <t>SW Margin Benchmarking</t>
  </si>
  <si>
    <t>Mendo P/E PF for Mgmt Mid-LT Margin</t>
  </si>
  <si>
    <t>3. Mendo LT Margin Target</t>
  </si>
  <si>
    <t>2. Mgmt Mid-LT Margin % of Revs</t>
  </si>
  <si>
    <t>1. 2026 GP Multiple</t>
  </si>
  <si>
    <t>4. Grid 2028 exit on different metrics</t>
  </si>
  <si>
    <t>Target Mendo P/E</t>
  </si>
  <si>
    <t>Implied Mendo P/E PF LT Mgmt</t>
  </si>
  <si>
    <t>Implied Mendo P/E PF LT Mendo</t>
  </si>
  <si>
    <t>2029 Mendo EPS</t>
  </si>
  <si>
    <t>MoM</t>
  </si>
  <si>
    <t>2028+</t>
  </si>
  <si>
    <t>AMZN US EQUITY</t>
  </si>
  <si>
    <t>AMZN</t>
  </si>
  <si>
    <t>Perf</t>
  </si>
  <si>
    <t>Target Mult (GP or P/E)</t>
  </si>
  <si>
    <t>ABNB</t>
  </si>
  <si>
    <t>ABNB US EQUITY</t>
  </si>
  <si>
    <t>TTAN US EQUITY</t>
  </si>
  <si>
    <t>TTAN</t>
  </si>
  <si>
    <t>Margin</t>
  </si>
  <si>
    <t>NTM - YE28 IRR Decomp</t>
  </si>
  <si>
    <t>Mendo NI</t>
  </si>
  <si>
    <t>Yield</t>
  </si>
  <si>
    <t>E+Y</t>
  </si>
  <si>
    <t>Mult</t>
  </si>
  <si>
    <t>Return</t>
  </si>
  <si>
    <t>Unprofitable Software</t>
  </si>
  <si>
    <t>Big Tech</t>
  </si>
  <si>
    <t>GOOG</t>
  </si>
  <si>
    <t>NVDA</t>
  </si>
  <si>
    <t>Info Svcs</t>
  </si>
  <si>
    <t>FROG</t>
  </si>
  <si>
    <t>FAF</t>
  </si>
  <si>
    <t>Other TMT</t>
  </si>
  <si>
    <t>SU FP</t>
  </si>
  <si>
    <t>MCHP</t>
  </si>
  <si>
    <t>ADI</t>
  </si>
  <si>
    <t>ZTS</t>
  </si>
  <si>
    <t>ELAN</t>
  </si>
  <si>
    <t>WING</t>
  </si>
  <si>
    <t>RELX</t>
  </si>
  <si>
    <t>META</t>
  </si>
  <si>
    <t>LITE</t>
  </si>
  <si>
    <t>IOT</t>
  </si>
  <si>
    <t>XYZ</t>
  </si>
  <si>
    <t>ACM</t>
  </si>
  <si>
    <t>Other sectors</t>
  </si>
  <si>
    <t>DSV</t>
  </si>
  <si>
    <t>MCHP US Equity</t>
  </si>
  <si>
    <t>NVDA US Equity</t>
  </si>
  <si>
    <t>FAF US Equity</t>
  </si>
  <si>
    <t>FROG US Equity</t>
  </si>
  <si>
    <t>IOT US Equity</t>
  </si>
  <si>
    <t>ADI US Equity</t>
  </si>
  <si>
    <t>LITE US Equity</t>
  </si>
  <si>
    <t>ZTS US Equity</t>
  </si>
  <si>
    <t>ELAN US Equity</t>
  </si>
  <si>
    <t>SU FP Equity</t>
  </si>
  <si>
    <t>ACM US EQUITY</t>
  </si>
  <si>
    <t>DSV DC Equity</t>
  </si>
  <si>
    <t>GOOG US EQUITY</t>
  </si>
  <si>
    <t>WING US Equity</t>
  </si>
  <si>
    <t>B500XM7T</t>
  </si>
  <si>
    <t>B500XM7T INDEX</t>
  </si>
  <si>
    <t>COF</t>
  </si>
  <si>
    <t>AON</t>
  </si>
  <si>
    <t>COF US Equity</t>
  </si>
  <si>
    <t>META US EQUITY</t>
  </si>
  <si>
    <t>CSP Creation Multiples</t>
  </si>
  <si>
    <t>NTM EPS Decomp</t>
  </si>
  <si>
    <t>Core EPS</t>
  </si>
  <si>
    <t>CSP EPS</t>
  </si>
  <si>
    <t>Total EPS</t>
  </si>
  <si>
    <t>Assumed Core Biz NTM Mult</t>
  </si>
  <si>
    <t>Implied CSP Mult</t>
  </si>
  <si>
    <t>Total P/E</t>
  </si>
  <si>
    <t>&lt;&lt; NTM</t>
  </si>
  <si>
    <t>CSP Revs CAGR 2026-2029</t>
  </si>
  <si>
    <t>CSP EBIT CAGR 2026-2029</t>
  </si>
  <si>
    <t>Implied CSP P/E 2029</t>
  </si>
  <si>
    <t>2029 CSP EPS</t>
  </si>
  <si>
    <t>Current Price Check</t>
  </si>
  <si>
    <t>Memo:</t>
  </si>
  <si>
    <t>MSFT OpenAI Stake/sh @ $1T valuation</t>
  </si>
  <si>
    <t>Core biz implied multiples</t>
  </si>
  <si>
    <t>Assumed CSP Multiple</t>
  </si>
  <si>
    <t>Implied Core Biz NTM Multiple</t>
  </si>
  <si>
    <t>EPS</t>
  </si>
  <si>
    <t>AON US Equity</t>
  </si>
  <si>
    <t>Port</t>
  </si>
  <si>
    <t>3yr Net</t>
  </si>
  <si>
    <t>Earnings</t>
  </si>
  <si>
    <t>Val</t>
  </si>
  <si>
    <t>Up</t>
  </si>
  <si>
    <t>Down</t>
  </si>
  <si>
    <t>Net</t>
  </si>
  <si>
    <t>Val up/down</t>
  </si>
  <si>
    <t>up</t>
  </si>
  <si>
    <t>down</t>
  </si>
  <si>
    <t>Convex</t>
  </si>
  <si>
    <t>Risk</t>
  </si>
  <si>
    <t>Valuation</t>
  </si>
  <si>
    <t>Range</t>
  </si>
  <si>
    <t>Up/Down</t>
  </si>
  <si>
    <t>Base</t>
  </si>
  <si>
    <t>Skew</t>
  </si>
  <si>
    <t>TMSC</t>
  </si>
  <si>
    <t>Consensus key metric</t>
  </si>
  <si>
    <t>Mendo vs Consensus</t>
  </si>
  <si>
    <t>WORK IN PROGRESS</t>
  </si>
  <si>
    <t>META (Core)</t>
  </si>
  <si>
    <t>META (incl. GenAI)</t>
  </si>
  <si>
    <t>Core EPS Only</t>
  </si>
  <si>
    <t>TMUS US Equity</t>
  </si>
  <si>
    <t>TMUS</t>
  </si>
  <si>
    <t>2330 TT EQUITY</t>
  </si>
  <si>
    <t>Mendo EPS CAGR</t>
  </si>
  <si>
    <t>Div yield</t>
  </si>
  <si>
    <t>Total Yield</t>
  </si>
  <si>
    <t>Multiple CAGR</t>
  </si>
  <si>
    <t xml:space="preserve">Margin </t>
  </si>
  <si>
    <t xml:space="preserve">EPS + Divs </t>
  </si>
  <si>
    <t>Recent Performance</t>
  </si>
  <si>
    <t>Index</t>
  </si>
  <si>
    <t>Multiple</t>
  </si>
  <si>
    <t>Profitable Software</t>
  </si>
  <si>
    <t>TSMC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</si>
</sst>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\x_);\(0.0\x\);0.0\x_);@_)"/>
    <numFmt numFmtId="166" formatCode="0.0%"/>
    <numFmt numFmtId="167" formatCode="[$-409]mmm\-yy;@"/>
    <numFmt numFmtId="168" formatCode="_-[$£-809]* #,##0.00_-;\-[$£-809]* #,##0.00_-;_-[$£-809]* &quot;-&quot;??_-;_-@_-"/>
    <numFmt numFmtId="169" formatCode="_([$€-2]\ * #,##0.00_);_([$€-2]\ * \(#,##0.00\);_([$€-2]\ * &quot;-&quot;??_);_(@_)"/>
    <numFmt numFmtId="170" formatCode="0.0\x"/>
    <numFmt numFmtId="171" formatCode="0.0_ %_);\(0.0_ %\);0.0_ %_);@_)"/>
    <numFmt numFmtId="172" formatCode="[$$-409]#,##0.00_);\([$$-409]#,##0.00\);[$$-409]#,##0.00_);@_)"/>
    <numFmt numFmtId="173" formatCode="_(#,##0_);\(#,##0\);_(&quot;–&quot;_);_(@_)"/>
    <numFmt numFmtId="174" formatCode="_(#,##0.00_);\(#,##0.00\);_(&quot;–&quot;_);_(@_)"/>
    <numFmt numFmtId="175" formatCode="0.0\x_);\(0.0\x\);&quot;–&quot;_)"/>
    <numFmt numFmtId="176" formatCode="_([$$]#,##0.00_);\([$$]#,##0.00\);_(&quot;–&quot;_);_(@_)"/>
    <numFmt numFmtId="177" formatCode="_([$£-809]#,##0.00_);\([$£-809]#,##0.00\);_(&quot;–&quot;_);_(@_)"/>
    <numFmt numFmtId="178" formatCode="_([$€-2]#,##0.00_);\([$€-2]#,##0.00\);_(&quot;–&quot;_);_(@_)"/>
    <numFmt numFmtId="179" formatCode="#,##0.00_);\(#,##0.00\);#,##0.00_);@_)"/>
    <numFmt numFmtId="180" formatCode="_(#,##0.0%_);\(#,##0.0%\);_(&quot;–&quot;_)_%;_(@_)_%"/>
    <numFmt numFmtId="181" formatCode="#,##0.0_ \x_);\(#,##0.0_ \x\);#,##0.0_ \x_);@_ _x\ _)"/>
    <numFmt numFmtId="182" formatCode="#,##0_);\(#,##0\);#,##0_);@_)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sz val="11"/>
      <color rgb="FF0000FF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7030A0"/>
      <name val="Calibri"/>
      <family val="2"/>
    </font>
    <font>
      <sz val="11"/>
      <color rgb="FF7030A0"/>
      <name val="Calibri"/>
      <family val="2"/>
      <scheme val="minor"/>
    </font>
    <font>
      <b/>
      <u val="singleAccounting"/>
      <sz val="11"/>
      <name val="Calibri"/>
      <family val="2"/>
      <scheme val="minor"/>
    </font>
    <font>
      <sz val="11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FF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i/>
      <sz val="11"/>
      <color theme="1"/>
      <name val="Calibri"/>
      <family val="2"/>
    </font>
    <font>
      <i/>
      <sz val="11"/>
      <color rgb="FF0000FF"/>
      <name val="Calibri"/>
      <family val="2"/>
    </font>
    <font>
      <sz val="11"/>
      <color rgb="FF7030A0"/>
      <name val="Calibri"/>
      <family val="2"/>
    </font>
    <font>
      <sz val="10"/>
      <color indexed="8"/>
      <name val="Arial"/>
      <family val="2"/>
    </font>
    <font>
      <u val="singleAccounting"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C6EFCE"/>
        <bgColor indexed="64"/>
      </patternFill>
    </fill>
  </fills>
  <borders count="3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4" fillId="10" borderId="0" applyNumberFormat="0" applyBorder="0" applyAlignment="0" applyProtection="0"/>
    <xf numFmtId="0" fontId="25" fillId="0" borderId="18" applyNumberFormat="0" applyFill="0" applyAlignment="0" applyProtection="0"/>
    <xf numFmtId="0" fontId="15" fillId="0" borderId="0"/>
    <xf numFmtId="4" fontId="38" fillId="4" borderId="25">
      <alignment horizontal="right"/>
    </xf>
  </cellStyleXfs>
  <cellXfs count="487">
    <xf numFmtId="0" fontId="0" fillId="0" borderId="0" xfId="0"/>
    <xf numFmtId="14" fontId="0" fillId="0" borderId="0" xfId="0" applyNumberFormat="1"/>
    <xf numFmtId="164" fontId="2" fillId="3" borderId="0" xfId="1" applyNumberFormat="1" applyFont="1" applyFill="1" applyBorder="1" applyAlignment="1"/>
    <xf numFmtId="164" fontId="2" fillId="3" borderId="0" xfId="0" applyNumberFormat="1" applyFont="1" applyFill="1"/>
    <xf numFmtId="9" fontId="6" fillId="3" borderId="0" xfId="2" applyFont="1" applyFill="1" applyBorder="1" applyAlignment="1"/>
    <xf numFmtId="165" fontId="7" fillId="3" borderId="0" xfId="0" applyNumberFormat="1" applyFont="1" applyFill="1"/>
    <xf numFmtId="166" fontId="7" fillId="3" borderId="0" xfId="2" applyNumberFormat="1" applyFont="1" applyFill="1" applyBorder="1" applyAlignment="1"/>
    <xf numFmtId="8" fontId="2" fillId="4" borderId="0" xfId="2" applyNumberFormat="1" applyFont="1" applyFill="1" applyBorder="1" applyAlignment="1"/>
    <xf numFmtId="165" fontId="7" fillId="3" borderId="2" xfId="0" applyNumberFormat="1" applyFont="1" applyFill="1" applyBorder="1"/>
    <xf numFmtId="0" fontId="0" fillId="3" borderId="0" xfId="0" applyFill="1" applyAlignment="1">
      <alignment horizontal="left"/>
    </xf>
    <xf numFmtId="0" fontId="0" fillId="3" borderId="0" xfId="0" applyFill="1"/>
    <xf numFmtId="8" fontId="2" fillId="3" borderId="0" xfId="0" applyNumberFormat="1" applyFont="1" applyFill="1"/>
    <xf numFmtId="165" fontId="2" fillId="4" borderId="0" xfId="2" applyNumberFormat="1" applyFont="1" applyFill="1" applyBorder="1" applyAlignment="1"/>
    <xf numFmtId="0" fontId="8" fillId="0" borderId="0" xfId="0" applyFont="1"/>
    <xf numFmtId="14" fontId="0" fillId="2" borderId="1" xfId="3" applyNumberFormat="1" applyFont="1"/>
    <xf numFmtId="9" fontId="0" fillId="0" borderId="0" xfId="0" applyNumberFormat="1"/>
    <xf numFmtId="0" fontId="4" fillId="3" borderId="0" xfId="0" applyFont="1" applyFill="1" applyAlignment="1">
      <alignment horizontal="center"/>
    </xf>
    <xf numFmtId="0" fontId="14" fillId="3" borderId="2" xfId="0" quotePrefix="1" applyFont="1" applyFill="1" applyBorder="1" applyAlignment="1">
      <alignment horizontal="right"/>
    </xf>
    <xf numFmtId="8" fontId="2" fillId="0" borderId="0" xfId="0" applyNumberFormat="1" applyFont="1"/>
    <xf numFmtId="8" fontId="6" fillId="4" borderId="0" xfId="2" applyNumberFormat="1" applyFont="1" applyFill="1" applyBorder="1" applyAlignment="1"/>
    <xf numFmtId="164" fontId="0" fillId="0" borderId="0" xfId="1" applyNumberFormat="1" applyFont="1"/>
    <xf numFmtId="9" fontId="2" fillId="3" borderId="0" xfId="2" applyFont="1" applyFill="1" applyBorder="1" applyAlignment="1"/>
    <xf numFmtId="44" fontId="2" fillId="4" borderId="0" xfId="4" applyFont="1" applyFill="1" applyBorder="1" applyAlignment="1"/>
    <xf numFmtId="164" fontId="0" fillId="3" borderId="0" xfId="1" applyNumberFormat="1" applyFont="1" applyFill="1" applyBorder="1"/>
    <xf numFmtId="164" fontId="0" fillId="0" borderId="0" xfId="1" applyNumberFormat="1" applyFont="1" applyBorder="1"/>
    <xf numFmtId="164" fontId="5" fillId="0" borderId="0" xfId="1" applyNumberFormat="1" applyFont="1" applyBorder="1"/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43" fontId="2" fillId="2" borderId="4" xfId="3" applyNumberFormat="1" applyFont="1" applyBorder="1" applyAlignment="1"/>
    <xf numFmtId="0" fontId="0" fillId="3" borderId="6" xfId="0" applyFill="1" applyBorder="1"/>
    <xf numFmtId="0" fontId="0" fillId="3" borderId="6" xfId="0" applyFill="1" applyBorder="1" applyAlignment="1">
      <alignment horizontal="centerContinuous"/>
    </xf>
    <xf numFmtId="0" fontId="3" fillId="3" borderId="6" xfId="0" applyFont="1" applyFill="1" applyBorder="1" applyAlignment="1">
      <alignment horizontal="centerContinuous"/>
    </xf>
    <xf numFmtId="0" fontId="4" fillId="3" borderId="6" xfId="0" applyFont="1" applyFill="1" applyBorder="1" applyAlignment="1">
      <alignment horizontal="centerContinuous"/>
    </xf>
    <xf numFmtId="0" fontId="4" fillId="3" borderId="7" xfId="0" applyFont="1" applyFill="1" applyBorder="1" applyAlignment="1">
      <alignment horizontal="centerContinuous"/>
    </xf>
    <xf numFmtId="0" fontId="4" fillId="0" borderId="6" xfId="0" applyFont="1" applyBorder="1" applyAlignment="1">
      <alignment horizontal="centerContinuous"/>
    </xf>
    <xf numFmtId="0" fontId="3" fillId="0" borderId="6" xfId="0" applyFont="1" applyBorder="1" applyAlignment="1">
      <alignment horizontal="centerContinuous"/>
    </xf>
    <xf numFmtId="0" fontId="4" fillId="0" borderId="7" xfId="0" applyFont="1" applyBorder="1" applyAlignment="1">
      <alignment horizontal="centerContinuous"/>
    </xf>
    <xf numFmtId="0" fontId="4" fillId="3" borderId="9" xfId="0" applyFont="1" applyFill="1" applyBorder="1"/>
    <xf numFmtId="0" fontId="0" fillId="0" borderId="9" xfId="0" applyBorder="1"/>
    <xf numFmtId="164" fontId="12" fillId="0" borderId="0" xfId="1" applyNumberFormat="1" applyFont="1" applyBorder="1"/>
    <xf numFmtId="164" fontId="2" fillId="4" borderId="0" xfId="1" applyNumberFormat="1" applyFont="1" applyFill="1" applyBorder="1" applyAlignment="1"/>
    <xf numFmtId="164" fontId="6" fillId="4" borderId="0" xfId="1" applyNumberFormat="1" applyFont="1" applyFill="1" applyBorder="1" applyAlignment="1"/>
    <xf numFmtId="164" fontId="2" fillId="0" borderId="0" xfId="1" applyNumberFormat="1" applyFont="1" applyBorder="1"/>
    <xf numFmtId="44" fontId="6" fillId="4" borderId="0" xfId="4" applyFont="1" applyFill="1" applyBorder="1" applyAlignment="1"/>
    <xf numFmtId="0" fontId="4" fillId="7" borderId="6" xfId="0" applyFont="1" applyFill="1" applyBorder="1" applyAlignment="1">
      <alignment horizontal="centerContinuous"/>
    </xf>
    <xf numFmtId="0" fontId="3" fillId="7" borderId="6" xfId="0" applyFont="1" applyFill="1" applyBorder="1" applyAlignment="1">
      <alignment horizontal="centerContinuous"/>
    </xf>
    <xf numFmtId="8" fontId="2" fillId="7" borderId="0" xfId="2" applyNumberFormat="1" applyFont="1" applyFill="1" applyBorder="1" applyAlignment="1"/>
    <xf numFmtId="164" fontId="15" fillId="0" borderId="0" xfId="5" applyNumberFormat="1" applyFont="1" applyFill="1" applyBorder="1"/>
    <xf numFmtId="0" fontId="0" fillId="0" borderId="11" xfId="0" applyBorder="1"/>
    <xf numFmtId="0" fontId="0" fillId="0" borderId="12" xfId="0" applyBorder="1"/>
    <xf numFmtId="164" fontId="0" fillId="0" borderId="12" xfId="1" applyNumberFormat="1" applyFont="1" applyBorder="1"/>
    <xf numFmtId="164" fontId="2" fillId="3" borderId="12" xfId="0" applyNumberFormat="1" applyFont="1" applyFill="1" applyBorder="1"/>
    <xf numFmtId="9" fontId="6" fillId="3" borderId="12" xfId="2" applyFont="1" applyFill="1" applyBorder="1" applyAlignment="1"/>
    <xf numFmtId="8" fontId="2" fillId="3" borderId="12" xfId="0" applyNumberFormat="1" applyFont="1" applyFill="1" applyBorder="1"/>
    <xf numFmtId="8" fontId="2" fillId="0" borderId="12" xfId="0" applyNumberFormat="1" applyFont="1" applyBorder="1"/>
    <xf numFmtId="165" fontId="7" fillId="3" borderId="12" xfId="0" applyNumberFormat="1" applyFont="1" applyFill="1" applyBorder="1"/>
    <xf numFmtId="165" fontId="2" fillId="4" borderId="12" xfId="2" applyNumberFormat="1" applyFont="1" applyFill="1" applyBorder="1" applyAlignment="1"/>
    <xf numFmtId="8" fontId="2" fillId="4" borderId="12" xfId="2" applyNumberFormat="1" applyFont="1" applyFill="1" applyBorder="1" applyAlignment="1"/>
    <xf numFmtId="166" fontId="7" fillId="3" borderId="12" xfId="2" applyNumberFormat="1" applyFont="1" applyFill="1" applyBorder="1" applyAlignment="1"/>
    <xf numFmtId="164" fontId="5" fillId="0" borderId="0" xfId="1" applyNumberFormat="1" applyFont="1" applyFill="1" applyBorder="1"/>
    <xf numFmtId="164" fontId="2" fillId="0" borderId="0" xfId="1" applyNumberFormat="1" applyFont="1" applyFill="1" applyBorder="1" applyAlignment="1"/>
    <xf numFmtId="44" fontId="2" fillId="0" borderId="0" xfId="4" applyFont="1" applyBorder="1"/>
    <xf numFmtId="0" fontId="9" fillId="0" borderId="9" xfId="0" applyFont="1" applyBorder="1"/>
    <xf numFmtId="0" fontId="9" fillId="0" borderId="0" xfId="0" applyFont="1"/>
    <xf numFmtId="164" fontId="18" fillId="0" borderId="0" xfId="1" applyNumberFormat="1" applyFont="1" applyBorder="1"/>
    <xf numFmtId="9" fontId="16" fillId="3" borderId="0" xfId="2" applyFont="1" applyFill="1" applyBorder="1" applyAlignment="1"/>
    <xf numFmtId="165" fontId="19" fillId="3" borderId="2" xfId="0" applyNumberFormat="1" applyFont="1" applyFill="1" applyBorder="1"/>
    <xf numFmtId="165" fontId="16" fillId="4" borderId="0" xfId="2" applyNumberFormat="1" applyFont="1" applyFill="1" applyBorder="1" applyAlignment="1"/>
    <xf numFmtId="8" fontId="16" fillId="7" borderId="0" xfId="2" applyNumberFormat="1" applyFont="1" applyFill="1" applyBorder="1" applyAlignment="1"/>
    <xf numFmtId="8" fontId="16" fillId="4" borderId="0" xfId="2" applyNumberFormat="1" applyFont="1" applyFill="1" applyBorder="1" applyAlignment="1"/>
    <xf numFmtId="164" fontId="16" fillId="4" borderId="0" xfId="1" applyNumberFormat="1" applyFont="1" applyFill="1" applyBorder="1" applyAlignment="1"/>
    <xf numFmtId="166" fontId="19" fillId="3" borderId="0" xfId="2" applyNumberFormat="1" applyFont="1" applyFill="1" applyBorder="1" applyAlignment="1"/>
    <xf numFmtId="164" fontId="9" fillId="3" borderId="0" xfId="1" applyNumberFormat="1" applyFont="1" applyFill="1" applyBorder="1"/>
    <xf numFmtId="44" fontId="17" fillId="4" borderId="0" xfId="4" applyFont="1" applyFill="1" applyBorder="1" applyAlignment="1"/>
    <xf numFmtId="8" fontId="17" fillId="4" borderId="0" xfId="2" applyNumberFormat="1" applyFont="1" applyFill="1" applyBorder="1" applyAlignment="1"/>
    <xf numFmtId="8" fontId="0" fillId="0" borderId="0" xfId="0" applyNumberFormat="1"/>
    <xf numFmtId="164" fontId="1" fillId="3" borderId="0" xfId="1" applyNumberFormat="1" applyFont="1" applyFill="1" applyBorder="1"/>
    <xf numFmtId="166" fontId="19" fillId="3" borderId="2" xfId="2" applyNumberFormat="1" applyFont="1" applyFill="1" applyBorder="1" applyAlignment="1"/>
    <xf numFmtId="166" fontId="7" fillId="3" borderId="2" xfId="2" applyNumberFormat="1" applyFont="1" applyFill="1" applyBorder="1" applyAlignment="1"/>
    <xf numFmtId="166" fontId="7" fillId="3" borderId="14" xfId="2" applyNumberFormat="1" applyFont="1" applyFill="1" applyBorder="1" applyAlignment="1"/>
    <xf numFmtId="164" fontId="7" fillId="3" borderId="0" xfId="1" applyNumberFormat="1" applyFont="1" applyFill="1" applyBorder="1"/>
    <xf numFmtId="164" fontId="7" fillId="0" borderId="0" xfId="1" applyNumberFormat="1" applyFont="1" applyBorder="1"/>
    <xf numFmtId="165" fontId="2" fillId="4" borderId="0" xfId="2" applyNumberFormat="1" applyFont="1" applyFill="1" applyBorder="1"/>
    <xf numFmtId="169" fontId="2" fillId="7" borderId="0" xfId="2" applyNumberFormat="1" applyFont="1" applyFill="1" applyBorder="1" applyAlignment="1"/>
    <xf numFmtId="169" fontId="6" fillId="4" borderId="0" xfId="2" applyNumberFormat="1" applyFont="1" applyFill="1" applyBorder="1" applyAlignment="1"/>
    <xf numFmtId="169" fontId="2" fillId="4" borderId="0" xfId="2" applyNumberFormat="1" applyFont="1" applyFill="1" applyBorder="1" applyAlignment="1"/>
    <xf numFmtId="164" fontId="16" fillId="3" borderId="0" xfId="1" applyNumberFormat="1" applyFont="1" applyFill="1" applyBorder="1" applyAlignment="1"/>
    <xf numFmtId="164" fontId="5" fillId="0" borderId="0" xfId="1" applyNumberFormat="1" applyFont="1" applyFill="1" applyBorder="1" applyAlignment="1">
      <alignment wrapText="1"/>
    </xf>
    <xf numFmtId="164" fontId="2" fillId="3" borderId="0" xfId="1" applyNumberFormat="1" applyFont="1" applyFill="1" applyBorder="1"/>
    <xf numFmtId="164" fontId="1" fillId="0" borderId="0" xfId="1" applyNumberFormat="1" applyFont="1" applyBorder="1"/>
    <xf numFmtId="9" fontId="2" fillId="3" borderId="0" xfId="2" applyFont="1" applyFill="1" applyBorder="1"/>
    <xf numFmtId="168" fontId="2" fillId="7" borderId="0" xfId="2" applyNumberFormat="1" applyFont="1" applyFill="1" applyBorder="1"/>
    <xf numFmtId="168" fontId="6" fillId="4" borderId="0" xfId="2" applyNumberFormat="1" applyFont="1" applyFill="1" applyBorder="1"/>
    <xf numFmtId="168" fontId="2" fillId="4" borderId="0" xfId="2" applyNumberFormat="1" applyFont="1" applyFill="1" applyBorder="1"/>
    <xf numFmtId="164" fontId="2" fillId="4" borderId="0" xfId="1" applyNumberFormat="1" applyFont="1" applyFill="1" applyBorder="1"/>
    <xf numFmtId="166" fontId="7" fillId="3" borderId="0" xfId="2" applyNumberFormat="1" applyFont="1" applyFill="1" applyBorder="1"/>
    <xf numFmtId="166" fontId="7" fillId="3" borderId="2" xfId="2" applyNumberFormat="1" applyFont="1" applyFill="1" applyBorder="1"/>
    <xf numFmtId="0" fontId="0" fillId="0" borderId="0" xfId="0" applyAlignment="1">
      <alignment horizontal="left"/>
    </xf>
    <xf numFmtId="164" fontId="0" fillId="0" borderId="0" xfId="0" applyNumberFormat="1"/>
    <xf numFmtId="0" fontId="0" fillId="8" borderId="0" xfId="0" applyFill="1"/>
    <xf numFmtId="44" fontId="0" fillId="0" borderId="0" xfId="0" applyNumberFormat="1"/>
    <xf numFmtId="164" fontId="6" fillId="4" borderId="0" xfId="1" applyNumberFormat="1" applyFont="1" applyFill="1" applyBorder="1"/>
    <xf numFmtId="0" fontId="0" fillId="0" borderId="5" xfId="0" applyBorder="1"/>
    <xf numFmtId="0" fontId="0" fillId="0" borderId="6" xfId="0" applyBorder="1"/>
    <xf numFmtId="0" fontId="8" fillId="0" borderId="9" xfId="0" applyFont="1" applyBorder="1"/>
    <xf numFmtId="0" fontId="0" fillId="0" borderId="13" xfId="0" applyBorder="1"/>
    <xf numFmtId="164" fontId="5" fillId="0" borderId="12" xfId="1" applyNumberFormat="1" applyFont="1" applyBorder="1"/>
    <xf numFmtId="8" fontId="2" fillId="7" borderId="12" xfId="2" applyNumberFormat="1" applyFont="1" applyFill="1" applyBorder="1" applyAlignment="1"/>
    <xf numFmtId="8" fontId="6" fillId="4" borderId="12" xfId="2" applyNumberFormat="1" applyFont="1" applyFill="1" applyBorder="1" applyAlignment="1"/>
    <xf numFmtId="164" fontId="6" fillId="4" borderId="12" xfId="1" applyNumberFormat="1" applyFont="1" applyFill="1" applyBorder="1" applyAlignment="1"/>
    <xf numFmtId="164" fontId="2" fillId="4" borderId="12" xfId="1" applyNumberFormat="1" applyFont="1" applyFill="1" applyBorder="1" applyAlignment="1"/>
    <xf numFmtId="0" fontId="9" fillId="0" borderId="5" xfId="0" applyFont="1" applyBorder="1"/>
    <xf numFmtId="9" fontId="16" fillId="0" borderId="6" xfId="0" applyNumberFormat="1" applyFont="1" applyBorder="1"/>
    <xf numFmtId="9" fontId="16" fillId="0" borderId="8" xfId="0" applyNumberFormat="1" applyFont="1" applyBorder="1"/>
    <xf numFmtId="0" fontId="0" fillId="0" borderId="10" xfId="0" applyBorder="1"/>
    <xf numFmtId="0" fontId="0" fillId="0" borderId="9" xfId="0" applyBorder="1" applyAlignment="1">
      <alignment horizontal="left"/>
    </xf>
    <xf numFmtId="170" fontId="0" fillId="0" borderId="0" xfId="0" applyNumberFormat="1"/>
    <xf numFmtId="170" fontId="0" fillId="0" borderId="10" xfId="0" applyNumberFormat="1" applyBorder="1"/>
    <xf numFmtId="0" fontId="0" fillId="0" borderId="11" xfId="0" applyBorder="1" applyAlignment="1">
      <alignment horizontal="left"/>
    </xf>
    <xf numFmtId="170" fontId="0" fillId="0" borderId="12" xfId="0" applyNumberFormat="1" applyBorder="1"/>
    <xf numFmtId="170" fontId="0" fillId="0" borderId="13" xfId="0" applyNumberFormat="1" applyBorder="1"/>
    <xf numFmtId="0" fontId="21" fillId="9" borderId="15" xfId="0" applyFont="1" applyFill="1" applyBorder="1"/>
    <xf numFmtId="0" fontId="21" fillId="9" borderId="16" xfId="0" applyFont="1" applyFill="1" applyBorder="1" applyAlignment="1">
      <alignment horizontal="center"/>
    </xf>
    <xf numFmtId="0" fontId="21" fillId="9" borderId="17" xfId="0" applyFont="1" applyFill="1" applyBorder="1" applyAlignment="1">
      <alignment horizontal="center"/>
    </xf>
    <xf numFmtId="170" fontId="9" fillId="0" borderId="0" xfId="0" applyNumberFormat="1" applyFont="1"/>
    <xf numFmtId="170" fontId="9" fillId="0" borderId="10" xfId="0" applyNumberFormat="1" applyFont="1" applyBorder="1"/>
    <xf numFmtId="0" fontId="0" fillId="0" borderId="9" xfId="0" quotePrefix="1" applyBorder="1"/>
    <xf numFmtId="166" fontId="0" fillId="0" borderId="0" xfId="0" applyNumberFormat="1"/>
    <xf numFmtId="166" fontId="0" fillId="0" borderId="10" xfId="0" applyNumberFormat="1" applyBorder="1"/>
    <xf numFmtId="0" fontId="0" fillId="0" borderId="10" xfId="0" applyBorder="1" applyAlignment="1">
      <alignment horizontal="right"/>
    </xf>
    <xf numFmtId="9" fontId="0" fillId="0" borderId="10" xfId="0" applyNumberFormat="1" applyBorder="1"/>
    <xf numFmtId="0" fontId="0" fillId="0" borderId="8" xfId="0" applyBorder="1"/>
    <xf numFmtId="165" fontId="6" fillId="4" borderId="0" xfId="2" applyNumberFormat="1" applyFont="1" applyFill="1" applyBorder="1" applyAlignment="1"/>
    <xf numFmtId="9" fontId="16" fillId="4" borderId="6" xfId="0" applyNumberFormat="1" applyFont="1" applyFill="1" applyBorder="1"/>
    <xf numFmtId="9" fontId="16" fillId="4" borderId="8" xfId="0" applyNumberFormat="1" applyFont="1" applyFill="1" applyBorder="1"/>
    <xf numFmtId="9" fontId="7" fillId="3" borderId="0" xfId="2" applyFont="1" applyFill="1" applyBorder="1" applyAlignment="1"/>
    <xf numFmtId="44" fontId="7" fillId="4" borderId="0" xfId="4" applyFont="1" applyFill="1" applyBorder="1" applyAlignment="1"/>
    <xf numFmtId="164" fontId="7" fillId="4" borderId="0" xfId="1" applyNumberFormat="1" applyFont="1" applyFill="1" applyBorder="1"/>
    <xf numFmtId="165" fontId="7" fillId="4" borderId="0" xfId="2" applyNumberFormat="1" applyFont="1" applyFill="1" applyBorder="1" applyAlignment="1"/>
    <xf numFmtId="0" fontId="4" fillId="0" borderId="8" xfId="0" applyFont="1" applyBorder="1" applyAlignment="1">
      <alignment horizontal="centerContinuous"/>
    </xf>
    <xf numFmtId="44" fontId="6" fillId="4" borderId="0" xfId="4" applyFont="1" applyFill="1" applyBorder="1"/>
    <xf numFmtId="43" fontId="2" fillId="0" borderId="0" xfId="3" applyNumberFormat="1" applyFont="1" applyFill="1" applyBorder="1" applyAlignment="1"/>
    <xf numFmtId="0" fontId="24" fillId="10" borderId="9" xfId="8" applyBorder="1"/>
    <xf numFmtId="167" fontId="0" fillId="3" borderId="0" xfId="0" applyNumberFormat="1" applyFill="1" applyAlignment="1">
      <alignment horizontal="center"/>
    </xf>
    <xf numFmtId="164" fontId="6" fillId="3" borderId="0" xfId="0" applyNumberFormat="1" applyFont="1" applyFill="1"/>
    <xf numFmtId="8" fontId="6" fillId="3" borderId="0" xfId="0" applyNumberFormat="1" applyFont="1" applyFill="1"/>
    <xf numFmtId="164" fontId="2" fillId="4" borderId="0" xfId="0" applyNumberFormat="1" applyFont="1" applyFill="1"/>
    <xf numFmtId="16" fontId="0" fillId="3" borderId="0" xfId="0" applyNumberFormat="1" applyFill="1" applyAlignment="1">
      <alignment horizontal="center"/>
    </xf>
    <xf numFmtId="8" fontId="2" fillId="4" borderId="0" xfId="0" applyNumberFormat="1" applyFont="1" applyFill="1"/>
    <xf numFmtId="8" fontId="6" fillId="4" borderId="0" xfId="0" applyNumberFormat="1" applyFont="1" applyFill="1"/>
    <xf numFmtId="8" fontId="7" fillId="4" borderId="0" xfId="2" applyNumberFormat="1" applyFont="1" applyFill="1" applyBorder="1" applyAlignment="1"/>
    <xf numFmtId="167" fontId="9" fillId="3" borderId="0" xfId="0" applyNumberFormat="1" applyFont="1" applyFill="1" applyAlignment="1">
      <alignment horizontal="center"/>
    </xf>
    <xf numFmtId="8" fontId="20" fillId="4" borderId="0" xfId="0" applyNumberFormat="1" applyFont="1" applyFill="1"/>
    <xf numFmtId="164" fontId="9" fillId="0" borderId="0" xfId="1" applyNumberFormat="1" applyFont="1" applyBorder="1"/>
    <xf numFmtId="164" fontId="16" fillId="3" borderId="0" xfId="0" applyNumberFormat="1" applyFont="1" applyFill="1"/>
    <xf numFmtId="164" fontId="17" fillId="3" borderId="0" xfId="0" applyNumberFormat="1" applyFont="1" applyFill="1"/>
    <xf numFmtId="8" fontId="16" fillId="3" borderId="0" xfId="0" applyNumberFormat="1" applyFont="1" applyFill="1"/>
    <xf numFmtId="8" fontId="17" fillId="3" borderId="0" xfId="0" applyNumberFormat="1" applyFont="1" applyFill="1"/>
    <xf numFmtId="165" fontId="19" fillId="3" borderId="0" xfId="0" applyNumberFormat="1" applyFont="1" applyFill="1"/>
    <xf numFmtId="8" fontId="13" fillId="4" borderId="0" xfId="0" applyNumberFormat="1" applyFont="1" applyFill="1"/>
    <xf numFmtId="0" fontId="4" fillId="3" borderId="10" xfId="0" applyFont="1" applyFill="1" applyBorder="1" applyAlignment="1">
      <alignment horizontal="center"/>
    </xf>
    <xf numFmtId="0" fontId="26" fillId="3" borderId="9" xfId="9" applyFont="1" applyFill="1" applyBorder="1"/>
    <xf numFmtId="164" fontId="19" fillId="6" borderId="10" xfId="0" applyNumberFormat="1" applyFont="1" applyFill="1" applyBorder="1"/>
    <xf numFmtId="164" fontId="7" fillId="6" borderId="10" xfId="0" applyNumberFormat="1" applyFont="1" applyFill="1" applyBorder="1"/>
    <xf numFmtId="8" fontId="13" fillId="4" borderId="12" xfId="0" applyNumberFormat="1" applyFont="1" applyFill="1" applyBorder="1"/>
    <xf numFmtId="164" fontId="7" fillId="6" borderId="13" xfId="0" applyNumberFormat="1" applyFont="1" applyFill="1" applyBorder="1"/>
    <xf numFmtId="0" fontId="0" fillId="0" borderId="2" xfId="0" applyBorder="1"/>
    <xf numFmtId="165" fontId="2" fillId="4" borderId="2" xfId="2" applyNumberFormat="1" applyFont="1" applyFill="1" applyBorder="1" applyAlignment="1"/>
    <xf numFmtId="165" fontId="2" fillId="4" borderId="2" xfId="2" applyNumberFormat="1" applyFont="1" applyFill="1" applyBorder="1"/>
    <xf numFmtId="165" fontId="16" fillId="4" borderId="2" xfId="2" applyNumberFormat="1" applyFont="1" applyFill="1" applyBorder="1" applyAlignment="1"/>
    <xf numFmtId="165" fontId="2" fillId="4" borderId="14" xfId="2" applyNumberFormat="1" applyFont="1" applyFill="1" applyBorder="1" applyAlignment="1"/>
    <xf numFmtId="165" fontId="6" fillId="4" borderId="2" xfId="2" applyNumberFormat="1" applyFont="1" applyFill="1" applyBorder="1" applyAlignment="1"/>
    <xf numFmtId="165" fontId="7" fillId="4" borderId="2" xfId="2" applyNumberFormat="1" applyFont="1" applyFill="1" applyBorder="1" applyAlignment="1"/>
    <xf numFmtId="0" fontId="0" fillId="0" borderId="14" xfId="0" applyBorder="1"/>
    <xf numFmtId="0" fontId="14" fillId="3" borderId="2" xfId="0" quotePrefix="1" applyFont="1" applyFill="1" applyBorder="1" applyAlignment="1">
      <alignment horizontal="center"/>
    </xf>
    <xf numFmtId="171" fontId="7" fillId="3" borderId="0" xfId="2" applyNumberFormat="1" applyFont="1" applyFill="1" applyBorder="1" applyAlignment="1"/>
    <xf numFmtId="172" fontId="6" fillId="4" borderId="0" xfId="4" applyNumberFormat="1" applyFont="1" applyFill="1" applyBorder="1" applyAlignment="1"/>
    <xf numFmtId="0" fontId="0" fillId="3" borderId="19" xfId="0" applyFill="1" applyBorder="1" applyAlignment="1">
      <alignment horizontal="centerContinuous"/>
    </xf>
    <xf numFmtId="0" fontId="4" fillId="3" borderId="3" xfId="0" applyFont="1" applyFill="1" applyBorder="1"/>
    <xf numFmtId="0" fontId="3" fillId="3" borderId="19" xfId="0" applyFont="1" applyFill="1" applyBorder="1" applyAlignment="1">
      <alignment horizontal="centerContinuous"/>
    </xf>
    <xf numFmtId="166" fontId="27" fillId="3" borderId="0" xfId="2" applyNumberFormat="1" applyFont="1" applyFill="1" applyBorder="1" applyAlignment="1"/>
    <xf numFmtId="169" fontId="6" fillId="4" borderId="0" xfId="4" applyNumberFormat="1" applyFont="1" applyFill="1" applyBorder="1" applyAlignment="1"/>
    <xf numFmtId="173" fontId="6" fillId="4" borderId="0" xfId="4" applyNumberFormat="1" applyFont="1" applyFill="1" applyBorder="1" applyAlignment="1">
      <alignment horizontal="right"/>
    </xf>
    <xf numFmtId="174" fontId="2" fillId="4" borderId="0" xfId="2" applyNumberFormat="1" applyFont="1" applyFill="1" applyBorder="1" applyAlignment="1">
      <alignment horizontal="right"/>
    </xf>
    <xf numFmtId="173" fontId="7" fillId="3" borderId="0" xfId="1" applyNumberFormat="1" applyFont="1" applyFill="1" applyBorder="1" applyAlignment="1">
      <alignment horizontal="right"/>
    </xf>
    <xf numFmtId="173" fontId="2" fillId="4" borderId="0" xfId="1" applyNumberFormat="1" applyFont="1" applyFill="1" applyBorder="1" applyAlignment="1">
      <alignment horizontal="right"/>
    </xf>
    <xf numFmtId="167" fontId="2" fillId="3" borderId="0" xfId="0" applyNumberFormat="1" applyFont="1" applyFill="1" applyAlignment="1">
      <alignment horizontal="center"/>
    </xf>
    <xf numFmtId="165" fontId="7" fillId="3" borderId="14" xfId="0" applyNumberFormat="1" applyFont="1" applyFill="1" applyBorder="1"/>
    <xf numFmtId="166" fontId="7" fillId="5" borderId="0" xfId="2" applyNumberFormat="1" applyFont="1" applyFill="1" applyBorder="1" applyAlignment="1"/>
    <xf numFmtId="166" fontId="7" fillId="3" borderId="0" xfId="2" applyNumberFormat="1" applyFont="1" applyFill="1" applyBorder="1" applyAlignment="1">
      <alignment horizontal="right"/>
    </xf>
    <xf numFmtId="0" fontId="4" fillId="0" borderId="6" xfId="0" quotePrefix="1" applyFont="1" applyBorder="1" applyAlignment="1">
      <alignment horizontal="centerContinuous"/>
    </xf>
    <xf numFmtId="0" fontId="3" fillId="0" borderId="8" xfId="0" applyFont="1" applyBorder="1" applyAlignment="1">
      <alignment horizontal="centerContinuous"/>
    </xf>
    <xf numFmtId="0" fontId="14" fillId="3" borderId="10" xfId="0" quotePrefix="1" applyFont="1" applyFill="1" applyBorder="1" applyAlignment="1">
      <alignment horizontal="center"/>
    </xf>
    <xf numFmtId="0" fontId="14" fillId="3" borderId="10" xfId="0" quotePrefix="1" applyFont="1" applyFill="1" applyBorder="1" applyAlignment="1">
      <alignment horizontal="right"/>
    </xf>
    <xf numFmtId="166" fontId="7" fillId="3" borderId="10" xfId="2" applyNumberFormat="1" applyFont="1" applyFill="1" applyBorder="1" applyAlignment="1"/>
    <xf numFmtId="166" fontId="19" fillId="3" borderId="10" xfId="2" applyNumberFormat="1" applyFont="1" applyFill="1" applyBorder="1" applyAlignment="1"/>
    <xf numFmtId="166" fontId="7" fillId="3" borderId="13" xfId="2" applyNumberFormat="1" applyFont="1" applyFill="1" applyBorder="1" applyAlignment="1"/>
    <xf numFmtId="171" fontId="0" fillId="0" borderId="0" xfId="0" applyNumberFormat="1"/>
    <xf numFmtId="171" fontId="2" fillId="4" borderId="0" xfId="1" applyNumberFormat="1" applyFont="1" applyFill="1" applyBorder="1" applyAlignment="1"/>
    <xf numFmtId="165" fontId="7" fillId="3" borderId="2" xfId="0" applyNumberFormat="1" applyFont="1" applyFill="1" applyBorder="1" applyAlignment="1">
      <alignment horizontal="right"/>
    </xf>
    <xf numFmtId="165" fontId="15" fillId="4" borderId="2" xfId="0" applyNumberFormat="1" applyFont="1" applyFill="1" applyBorder="1"/>
    <xf numFmtId="0" fontId="14" fillId="3" borderId="0" xfId="0" quotePrefix="1" applyFont="1" applyFill="1" applyAlignment="1">
      <alignment horizontal="right"/>
    </xf>
    <xf numFmtId="165" fontId="15" fillId="4" borderId="14" xfId="0" applyNumberFormat="1" applyFont="1" applyFill="1" applyBorder="1"/>
    <xf numFmtId="165" fontId="15" fillId="4" borderId="12" xfId="0" applyNumberFormat="1" applyFont="1" applyFill="1" applyBorder="1"/>
    <xf numFmtId="167" fontId="2" fillId="3" borderId="12" xfId="0" applyNumberFormat="1" applyFont="1" applyFill="1" applyBorder="1" applyAlignment="1">
      <alignment horizontal="center"/>
    </xf>
    <xf numFmtId="16" fontId="0" fillId="3" borderId="12" xfId="0" applyNumberFormat="1" applyFill="1" applyBorder="1" applyAlignment="1">
      <alignment horizontal="center"/>
    </xf>
    <xf numFmtId="8" fontId="6" fillId="4" borderId="12" xfId="0" applyNumberFormat="1" applyFont="1" applyFill="1" applyBorder="1"/>
    <xf numFmtId="164" fontId="1" fillId="3" borderId="12" xfId="1" applyNumberFormat="1" applyFont="1" applyFill="1" applyBorder="1"/>
    <xf numFmtId="9" fontId="2" fillId="3" borderId="12" xfId="2" applyFont="1" applyFill="1" applyBorder="1" applyAlignment="1"/>
    <xf numFmtId="164" fontId="6" fillId="3" borderId="12" xfId="0" applyNumberFormat="1" applyFont="1" applyFill="1" applyBorder="1"/>
    <xf numFmtId="8" fontId="6" fillId="3" borderId="12" xfId="0" applyNumberFormat="1" applyFont="1" applyFill="1" applyBorder="1"/>
    <xf numFmtId="165" fontId="2" fillId="4" borderId="12" xfId="2" applyNumberFormat="1" applyFont="1" applyFill="1" applyBorder="1"/>
    <xf numFmtId="44" fontId="6" fillId="4" borderId="12" xfId="4" applyFont="1" applyFill="1" applyBorder="1" applyAlignment="1"/>
    <xf numFmtId="165" fontId="6" fillId="4" borderId="14" xfId="2" applyNumberFormat="1" applyFont="1" applyFill="1" applyBorder="1" applyAlignment="1"/>
    <xf numFmtId="165" fontId="6" fillId="4" borderId="12" xfId="2" applyNumberFormat="1" applyFont="1" applyFill="1" applyBorder="1" applyAlignment="1"/>
    <xf numFmtId="171" fontId="7" fillId="3" borderId="12" xfId="2" applyNumberFormat="1" applyFont="1" applyFill="1" applyBorder="1" applyAlignment="1"/>
    <xf numFmtId="0" fontId="3" fillId="0" borderId="8" xfId="0" quotePrefix="1" applyFont="1" applyBorder="1" applyAlignment="1">
      <alignment horizontal="centerContinuous"/>
    </xf>
    <xf numFmtId="0" fontId="4" fillId="3" borderId="0" xfId="0" applyFont="1" applyFill="1"/>
    <xf numFmtId="0" fontId="4" fillId="3" borderId="0" xfId="0" quotePrefix="1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7" borderId="0" xfId="0" quotePrefix="1" applyFont="1" applyFill="1" applyAlignment="1">
      <alignment horizontal="right"/>
    </xf>
    <xf numFmtId="0" fontId="14" fillId="3" borderId="0" xfId="0" quotePrefix="1" applyFont="1" applyFill="1" applyAlignment="1">
      <alignment horizontal="center"/>
    </xf>
    <xf numFmtId="169" fontId="2" fillId="3" borderId="0" xfId="0" applyNumberFormat="1" applyFont="1" applyFill="1"/>
    <xf numFmtId="169" fontId="6" fillId="3" borderId="0" xfId="0" applyNumberFormat="1" applyFont="1" applyFill="1"/>
    <xf numFmtId="8" fontId="7" fillId="4" borderId="0" xfId="0" applyNumberFormat="1" applyFont="1" applyFill="1"/>
    <xf numFmtId="173" fontId="2" fillId="3" borderId="0" xfId="0" applyNumberFormat="1" applyFont="1" applyFill="1" applyAlignment="1">
      <alignment horizontal="right"/>
    </xf>
    <xf numFmtId="8" fontId="7" fillId="3" borderId="0" xfId="0" applyNumberFormat="1" applyFont="1" applyFill="1"/>
    <xf numFmtId="175" fontId="7" fillId="3" borderId="0" xfId="0" applyNumberFormat="1" applyFont="1" applyFill="1" applyAlignment="1">
      <alignment horizontal="right"/>
    </xf>
    <xf numFmtId="165" fontId="7" fillId="3" borderId="0" xfId="0" applyNumberFormat="1" applyFont="1" applyFill="1" applyAlignment="1">
      <alignment horizontal="right"/>
    </xf>
    <xf numFmtId="8" fontId="23" fillId="3" borderId="0" xfId="0" applyNumberFormat="1" applyFont="1" applyFill="1"/>
    <xf numFmtId="166" fontId="7" fillId="3" borderId="10" xfId="2" applyNumberFormat="1" applyFont="1" applyFill="1" applyBorder="1"/>
    <xf numFmtId="167" fontId="6" fillId="3" borderId="0" xfId="0" applyNumberFormat="1" applyFont="1" applyFill="1" applyAlignment="1">
      <alignment horizontal="center"/>
    </xf>
    <xf numFmtId="164" fontId="22" fillId="5" borderId="0" xfId="0" applyNumberFormat="1" applyFont="1" applyFill="1"/>
    <xf numFmtId="165" fontId="7" fillId="7" borderId="0" xfId="0" applyNumberFormat="1" applyFont="1" applyFill="1"/>
    <xf numFmtId="166" fontId="7" fillId="3" borderId="10" xfId="2" applyNumberFormat="1" applyFont="1" applyFill="1" applyBorder="1" applyAlignment="1">
      <alignment horizontal="right"/>
    </xf>
    <xf numFmtId="164" fontId="7" fillId="3" borderId="0" xfId="0" applyNumberFormat="1" applyFont="1" applyFill="1"/>
    <xf numFmtId="1" fontId="2" fillId="0" borderId="0" xfId="0" applyNumberFormat="1" applyFont="1"/>
    <xf numFmtId="169" fontId="2" fillId="0" borderId="0" xfId="0" applyNumberFormat="1" applyFont="1"/>
    <xf numFmtId="17" fontId="0" fillId="0" borderId="0" xfId="0" applyNumberFormat="1"/>
    <xf numFmtId="164" fontId="28" fillId="3" borderId="0" xfId="0" applyNumberFormat="1" applyFont="1" applyFill="1"/>
    <xf numFmtId="174" fontId="6" fillId="4" borderId="0" xfId="0" applyNumberFormat="1" applyFont="1" applyFill="1" applyAlignment="1">
      <alignment horizontal="right"/>
    </xf>
    <xf numFmtId="174" fontId="2" fillId="3" borderId="0" xfId="0" applyNumberFormat="1" applyFont="1" applyFill="1" applyAlignment="1">
      <alignment horizontal="right"/>
    </xf>
    <xf numFmtId="164" fontId="2" fillId="0" borderId="0" xfId="1" applyNumberFormat="1" applyFont="1" applyFill="1" applyBorder="1"/>
    <xf numFmtId="173" fontId="7" fillId="4" borderId="0" xfId="2" applyNumberFormat="1" applyFont="1" applyFill="1" applyBorder="1" applyAlignment="1"/>
    <xf numFmtId="176" fontId="6" fillId="4" borderId="0" xfId="4" applyNumberFormat="1" applyFont="1" applyFill="1" applyBorder="1"/>
    <xf numFmtId="177" fontId="6" fillId="4" borderId="0" xfId="1" applyNumberFormat="1" applyFont="1" applyFill="1" applyBorder="1"/>
    <xf numFmtId="178" fontId="6" fillId="4" borderId="0" xfId="0" applyNumberFormat="1" applyFont="1" applyFill="1"/>
    <xf numFmtId="14" fontId="0" fillId="3" borderId="5" xfId="0" applyNumberFormat="1" applyFill="1" applyBorder="1" applyAlignment="1">
      <alignment horizontal="left"/>
    </xf>
    <xf numFmtId="0" fontId="29" fillId="0" borderId="0" xfId="0" applyFont="1"/>
    <xf numFmtId="0" fontId="29" fillId="0" borderId="0" xfId="0" applyFont="1" applyAlignment="1">
      <alignment horizontal="center" wrapText="1"/>
    </xf>
    <xf numFmtId="0" fontId="30" fillId="0" borderId="15" xfId="0" applyFont="1" applyBorder="1"/>
    <xf numFmtId="0" fontId="30" fillId="0" borderId="16" xfId="0" applyFont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29" fillId="0" borderId="9" xfId="0" applyFont="1" applyBorder="1"/>
    <xf numFmtId="8" fontId="29" fillId="0" borderId="0" xfId="0" applyNumberFormat="1" applyFont="1"/>
    <xf numFmtId="8" fontId="29" fillId="0" borderId="10" xfId="0" applyNumberFormat="1" applyFont="1" applyBorder="1"/>
    <xf numFmtId="0" fontId="31" fillId="0" borderId="9" xfId="0" applyFont="1" applyBorder="1"/>
    <xf numFmtId="0" fontId="29" fillId="0" borderId="10" xfId="0" applyFont="1" applyBorder="1"/>
    <xf numFmtId="179" fontId="5" fillId="4" borderId="0" xfId="0" applyNumberFormat="1" applyFont="1" applyFill="1" applyAlignment="1">
      <alignment horizontal="right"/>
    </xf>
    <xf numFmtId="174" fontId="32" fillId="0" borderId="0" xfId="0" applyNumberFormat="1" applyFont="1" applyAlignment="1">
      <alignment horizontal="right"/>
    </xf>
    <xf numFmtId="0" fontId="29" fillId="5" borderId="0" xfId="0" applyFont="1" applyFill="1"/>
    <xf numFmtId="0" fontId="29" fillId="5" borderId="10" xfId="0" applyFont="1" applyFill="1" applyBorder="1"/>
    <xf numFmtId="165" fontId="5" fillId="4" borderId="0" xfId="0" applyNumberFormat="1" applyFont="1" applyFill="1"/>
    <xf numFmtId="165" fontId="5" fillId="4" borderId="10" xfId="0" applyNumberFormat="1" applyFont="1" applyFill="1" applyBorder="1"/>
    <xf numFmtId="0" fontId="30" fillId="0" borderId="9" xfId="0" applyFont="1" applyBorder="1"/>
    <xf numFmtId="175" fontId="33" fillId="0" borderId="0" xfId="0" applyNumberFormat="1" applyFont="1" applyAlignment="1">
      <alignment horizontal="right"/>
    </xf>
    <xf numFmtId="175" fontId="34" fillId="0" borderId="0" xfId="0" applyNumberFormat="1" applyFont="1" applyAlignment="1">
      <alignment horizontal="right"/>
    </xf>
    <xf numFmtId="180" fontId="5" fillId="0" borderId="0" xfId="0" applyNumberFormat="1" applyFont="1" applyAlignment="1">
      <alignment horizontal="right"/>
    </xf>
    <xf numFmtId="174" fontId="5" fillId="0" borderId="0" xfId="0" applyNumberFormat="1" applyFont="1" applyAlignment="1">
      <alignment horizontal="right"/>
    </xf>
    <xf numFmtId="0" fontId="32" fillId="0" borderId="0" xfId="0" applyFont="1"/>
    <xf numFmtId="179" fontId="5" fillId="4" borderId="0" xfId="0" applyNumberFormat="1" applyFont="1" applyFill="1"/>
    <xf numFmtId="0" fontId="35" fillId="5" borderId="9" xfId="0" applyFont="1" applyFill="1" applyBorder="1"/>
    <xf numFmtId="0" fontId="35" fillId="5" borderId="0" xfId="0" applyFont="1" applyFill="1"/>
    <xf numFmtId="0" fontId="35" fillId="5" borderId="10" xfId="0" applyFont="1" applyFill="1" applyBorder="1"/>
    <xf numFmtId="0" fontId="35" fillId="0" borderId="0" xfId="0" applyFont="1"/>
    <xf numFmtId="179" fontId="36" fillId="5" borderId="0" xfId="0" applyNumberFormat="1" applyFont="1" applyFill="1"/>
    <xf numFmtId="181" fontId="32" fillId="4" borderId="0" xfId="0" applyNumberFormat="1" applyFont="1" applyFill="1"/>
    <xf numFmtId="181" fontId="5" fillId="4" borderId="0" xfId="0" applyNumberFormat="1" applyFont="1" applyFill="1"/>
    <xf numFmtId="181" fontId="32" fillId="4" borderId="10" xfId="0" applyNumberFormat="1" applyFont="1" applyFill="1" applyBorder="1"/>
    <xf numFmtId="0" fontId="30" fillId="0" borderId="11" xfId="0" applyFont="1" applyBorder="1"/>
    <xf numFmtId="181" fontId="33" fillId="0" borderId="12" xfId="0" applyNumberFormat="1" applyFont="1" applyBorder="1"/>
    <xf numFmtId="0" fontId="29" fillId="0" borderId="12" xfId="0" applyFont="1" applyBorder="1"/>
    <xf numFmtId="0" fontId="29" fillId="0" borderId="13" xfId="0" applyFont="1" applyBorder="1"/>
    <xf numFmtId="0" fontId="31" fillId="0" borderId="0" xfId="0" applyFont="1"/>
    <xf numFmtId="0" fontId="5" fillId="0" borderId="0" xfId="0" applyFont="1"/>
    <xf numFmtId="174" fontId="5" fillId="0" borderId="0" xfId="0" applyNumberFormat="1" applyFont="1"/>
    <xf numFmtId="165" fontId="2" fillId="0" borderId="2" xfId="2" applyNumberFormat="1" applyFont="1" applyFill="1" applyBorder="1" applyAlignment="1"/>
    <xf numFmtId="14" fontId="0" fillId="3" borderId="6" xfId="0" applyNumberFormat="1" applyFill="1" applyBorder="1" applyAlignment="1">
      <alignment horizontal="left"/>
    </xf>
    <xf numFmtId="0" fontId="26" fillId="3" borderId="0" xfId="9" applyFont="1" applyFill="1" applyBorder="1"/>
    <xf numFmtId="0" fontId="24" fillId="10" borderId="0" xfId="8" applyBorder="1"/>
    <xf numFmtId="0" fontId="24" fillId="0" borderId="0" xfId="8" applyFill="1" applyBorder="1"/>
    <xf numFmtId="164" fontId="7" fillId="6" borderId="0" xfId="0" applyNumberFormat="1" applyFont="1" applyFill="1"/>
    <xf numFmtId="0" fontId="3" fillId="0" borderId="0" xfId="0" applyFont="1" applyAlignment="1">
      <alignment horizontal="centerContinuous"/>
    </xf>
    <xf numFmtId="165" fontId="2" fillId="4" borderId="0" xfId="0" applyNumberFormat="1" applyFont="1" applyFill="1"/>
    <xf numFmtId="9" fontId="0" fillId="0" borderId="0" xfId="2" applyFont="1"/>
    <xf numFmtId="9" fontId="2" fillId="4" borderId="0" xfId="2" applyFont="1" applyFill="1" applyBorder="1" applyAlignment="1"/>
    <xf numFmtId="9" fontId="2" fillId="4" borderId="0" xfId="0" applyNumberFormat="1" applyFont="1" applyFill="1"/>
    <xf numFmtId="9" fontId="6" fillId="4" borderId="0" xfId="2" applyFont="1" applyFill="1" applyBorder="1" applyAlignment="1"/>
    <xf numFmtId="9" fontId="6" fillId="4" borderId="0" xfId="0" applyNumberFormat="1" applyFont="1" applyFill="1"/>
    <xf numFmtId="9" fontId="9" fillId="0" borderId="0" xfId="0" applyNumberFormat="1" applyFont="1"/>
    <xf numFmtId="0" fontId="14" fillId="3" borderId="20" xfId="0" quotePrefix="1" applyFont="1" applyFill="1" applyBorder="1" applyAlignment="1">
      <alignment horizontal="center"/>
    </xf>
    <xf numFmtId="0" fontId="14" fillId="3" borderId="21" xfId="0" quotePrefix="1" applyFont="1" applyFill="1" applyBorder="1" applyAlignment="1">
      <alignment horizontal="center"/>
    </xf>
    <xf numFmtId="0" fontId="14" fillId="3" borderId="22" xfId="0" quotePrefix="1" applyFont="1" applyFill="1" applyBorder="1" applyAlignment="1">
      <alignment horizontal="center"/>
    </xf>
    <xf numFmtId="0" fontId="4" fillId="0" borderId="0" xfId="0" applyFont="1" applyAlignment="1">
      <alignment horizontal="centerContinuous"/>
    </xf>
    <xf numFmtId="164" fontId="19" fillId="6" borderId="0" xfId="0" applyNumberFormat="1" applyFont="1" applyFill="1"/>
    <xf numFmtId="0" fontId="0" fillId="11" borderId="0" xfId="0" applyFill="1"/>
    <xf numFmtId="0" fontId="2" fillId="0" borderId="0" xfId="8" applyFont="1" applyFill="1" applyBorder="1"/>
    <xf numFmtId="9" fontId="7" fillId="0" borderId="0" xfId="2" applyFont="1"/>
    <xf numFmtId="9" fontId="7" fillId="4" borderId="0" xfId="2" applyFont="1" applyFill="1" applyBorder="1" applyAlignment="1"/>
    <xf numFmtId="9" fontId="7" fillId="0" borderId="0" xfId="0" applyNumberFormat="1" applyFont="1"/>
    <xf numFmtId="9" fontId="19" fillId="0" borderId="0" xfId="0" applyNumberFormat="1" applyFont="1"/>
    <xf numFmtId="173" fontId="5" fillId="0" borderId="0" xfId="0" applyNumberFormat="1" applyFont="1"/>
    <xf numFmtId="9" fontId="2" fillId="0" borderId="0" xfId="2" applyFont="1" applyFill="1" applyBorder="1" applyAlignment="1"/>
    <xf numFmtId="9" fontId="2" fillId="12" borderId="0" xfId="2" applyFont="1" applyFill="1" applyBorder="1" applyAlignment="1"/>
    <xf numFmtId="165" fontId="2" fillId="12" borderId="0" xfId="0" applyNumberFormat="1" applyFont="1" applyFill="1"/>
    <xf numFmtId="164" fontId="2" fillId="0" borderId="0" xfId="0" applyNumberFormat="1" applyFont="1"/>
    <xf numFmtId="173" fontId="2" fillId="0" borderId="0" xfId="0" applyNumberFormat="1" applyFont="1" applyAlignment="1">
      <alignment horizontal="right"/>
    </xf>
    <xf numFmtId="174" fontId="2" fillId="0" borderId="0" xfId="0" applyNumberFormat="1" applyFont="1" applyAlignment="1">
      <alignment horizontal="right"/>
    </xf>
    <xf numFmtId="165" fontId="2" fillId="0" borderId="0" xfId="2" applyNumberFormat="1" applyFont="1" applyFill="1" applyBorder="1" applyAlignment="1"/>
    <xf numFmtId="174" fontId="2" fillId="0" borderId="0" xfId="2" applyNumberFormat="1" applyFont="1" applyFill="1" applyBorder="1" applyAlignment="1">
      <alignment horizontal="right"/>
    </xf>
    <xf numFmtId="174" fontId="0" fillId="3" borderId="0" xfId="0" applyNumberFormat="1" applyFill="1"/>
    <xf numFmtId="176" fontId="6" fillId="4" borderId="0" xfId="0" applyNumberFormat="1" applyFont="1" applyFill="1" applyAlignment="1">
      <alignment horizontal="right"/>
    </xf>
    <xf numFmtId="14" fontId="2" fillId="2" borderId="1" xfId="3" applyNumberFormat="1" applyFont="1"/>
    <xf numFmtId="0" fontId="2" fillId="0" borderId="24" xfId="0" applyFont="1" applyBorder="1"/>
    <xf numFmtId="0" fontId="26" fillId="3" borderId="11" xfId="9" applyFont="1" applyFill="1" applyBorder="1"/>
    <xf numFmtId="0" fontId="26" fillId="3" borderId="12" xfId="9" applyFont="1" applyFill="1" applyBorder="1"/>
    <xf numFmtId="167" fontId="9" fillId="3" borderId="12" xfId="0" applyNumberFormat="1" applyFont="1" applyFill="1" applyBorder="1" applyAlignment="1">
      <alignment horizontal="center"/>
    </xf>
    <xf numFmtId="0" fontId="9" fillId="0" borderId="12" xfId="0" applyFont="1" applyBorder="1"/>
    <xf numFmtId="8" fontId="20" fillId="4" borderId="12" xfId="0" applyNumberFormat="1" applyFont="1" applyFill="1" applyBorder="1"/>
    <xf numFmtId="164" fontId="18" fillId="0" borderId="12" xfId="1" applyNumberFormat="1" applyFont="1" applyBorder="1"/>
    <xf numFmtId="164" fontId="16" fillId="3" borderId="12" xfId="1" applyNumberFormat="1" applyFont="1" applyFill="1" applyBorder="1" applyAlignment="1"/>
    <xf numFmtId="164" fontId="9" fillId="3" borderId="12" xfId="1" applyNumberFormat="1" applyFont="1" applyFill="1" applyBorder="1"/>
    <xf numFmtId="164" fontId="9" fillId="0" borderId="12" xfId="1" applyNumberFormat="1" applyFont="1" applyBorder="1"/>
    <xf numFmtId="164" fontId="16" fillId="3" borderId="12" xfId="0" applyNumberFormat="1" applyFont="1" applyFill="1" applyBorder="1"/>
    <xf numFmtId="9" fontId="16" fillId="3" borderId="12" xfId="2" applyFont="1" applyFill="1" applyBorder="1" applyAlignment="1"/>
    <xf numFmtId="164" fontId="17" fillId="3" borderId="12" xfId="0" applyNumberFormat="1" applyFont="1" applyFill="1" applyBorder="1"/>
    <xf numFmtId="8" fontId="16" fillId="3" borderId="12" xfId="0" applyNumberFormat="1" applyFont="1" applyFill="1" applyBorder="1"/>
    <xf numFmtId="8" fontId="17" fillId="3" borderId="12" xfId="0" applyNumberFormat="1" applyFont="1" applyFill="1" applyBorder="1"/>
    <xf numFmtId="165" fontId="19" fillId="3" borderId="12" xfId="0" applyNumberFormat="1" applyFont="1" applyFill="1" applyBorder="1"/>
    <xf numFmtId="165" fontId="19" fillId="3" borderId="14" xfId="0" applyNumberFormat="1" applyFont="1" applyFill="1" applyBorder="1"/>
    <xf numFmtId="165" fontId="16" fillId="4" borderId="12" xfId="2" applyNumberFormat="1" applyFont="1" applyFill="1" applyBorder="1" applyAlignment="1"/>
    <xf numFmtId="165" fontId="16" fillId="4" borderId="14" xfId="2" applyNumberFormat="1" applyFont="1" applyFill="1" applyBorder="1" applyAlignment="1"/>
    <xf numFmtId="8" fontId="16" fillId="7" borderId="12" xfId="2" applyNumberFormat="1" applyFont="1" applyFill="1" applyBorder="1" applyAlignment="1"/>
    <xf numFmtId="44" fontId="17" fillId="4" borderId="12" xfId="4" applyFont="1" applyFill="1" applyBorder="1" applyAlignment="1"/>
    <xf numFmtId="8" fontId="16" fillId="4" borderId="12" xfId="2" applyNumberFormat="1" applyFont="1" applyFill="1" applyBorder="1" applyAlignment="1"/>
    <xf numFmtId="8" fontId="17" fillId="4" borderId="12" xfId="2" applyNumberFormat="1" applyFont="1" applyFill="1" applyBorder="1" applyAlignment="1"/>
    <xf numFmtId="164" fontId="16" fillId="4" borderId="12" xfId="1" applyNumberFormat="1" applyFont="1" applyFill="1" applyBorder="1" applyAlignment="1"/>
    <xf numFmtId="166" fontId="19" fillId="3" borderId="14" xfId="2" applyNumberFormat="1" applyFont="1" applyFill="1" applyBorder="1" applyAlignment="1"/>
    <xf numFmtId="166" fontId="19" fillId="3" borderId="12" xfId="2" applyNumberFormat="1" applyFont="1" applyFill="1" applyBorder="1" applyAlignment="1"/>
    <xf numFmtId="166" fontId="19" fillId="3" borderId="13" xfId="2" applyNumberFormat="1" applyFont="1" applyFill="1" applyBorder="1" applyAlignment="1"/>
    <xf numFmtId="9" fontId="7" fillId="6" borderId="0" xfId="0" applyNumberFormat="1" applyFont="1" applyFill="1"/>
    <xf numFmtId="43" fontId="0" fillId="3" borderId="0" xfId="1" applyFont="1" applyFill="1"/>
    <xf numFmtId="8" fontId="7" fillId="6" borderId="0" xfId="0" applyNumberFormat="1" applyFont="1" applyFill="1"/>
    <xf numFmtId="164" fontId="37" fillId="4" borderId="0" xfId="10" applyNumberFormat="1" applyFont="1" applyFill="1"/>
    <xf numFmtId="182" fontId="5" fillId="0" borderId="0" xfId="1" applyNumberFormat="1" applyFont="1" applyBorder="1"/>
    <xf numFmtId="179" fontId="6" fillId="4" borderId="0" xfId="4" applyNumberFormat="1" applyFont="1" applyFill="1" applyBorder="1" applyAlignment="1"/>
    <xf numFmtId="179" fontId="2" fillId="4" borderId="0" xfId="2" applyNumberFormat="1" applyFont="1" applyFill="1" applyBorder="1" applyAlignment="1"/>
    <xf numFmtId="174" fontId="7" fillId="6" borderId="0" xfId="0" applyNumberFormat="1" applyFont="1" applyFill="1" applyAlignment="1">
      <alignment horizontal="right"/>
    </xf>
    <xf numFmtId="174" fontId="38" fillId="4" borderId="0" xfId="11" applyNumberFormat="1" applyBorder="1" applyAlignment="1">
      <alignment horizontal="right" vertical="center"/>
    </xf>
    <xf numFmtId="9" fontId="7" fillId="6" borderId="0" xfId="0" applyNumberFormat="1" applyFont="1" applyFill="1" applyAlignment="1">
      <alignment vertical="center"/>
    </xf>
    <xf numFmtId="166" fontId="0" fillId="0" borderId="0" xfId="2" applyNumberFormat="1" applyFont="1"/>
    <xf numFmtId="166" fontId="6" fillId="4" borderId="0" xfId="2" applyNumberFormat="1" applyFont="1" applyFill="1" applyBorder="1" applyAlignment="1"/>
    <xf numFmtId="166" fontId="2" fillId="4" borderId="0" xfId="2" applyNumberFormat="1" applyFont="1" applyFill="1" applyBorder="1" applyAlignment="1"/>
    <xf numFmtId="166" fontId="2" fillId="4" borderId="0" xfId="0" applyNumberFormat="1" applyFont="1" applyFill="1"/>
    <xf numFmtId="166" fontId="2" fillId="4" borderId="0" xfId="2" applyNumberFormat="1" applyFont="1" applyFill="1" applyBorder="1" applyAlignment="1">
      <alignment horizontal="right"/>
    </xf>
    <xf numFmtId="0" fontId="14" fillId="3" borderId="0" xfId="0" quotePrefix="1" applyFont="1" applyFill="1" applyAlignment="1">
      <alignment horizontal="center" wrapText="1"/>
    </xf>
    <xf numFmtId="166" fontId="2" fillId="4" borderId="10" xfId="2" applyNumberFormat="1" applyFont="1" applyFill="1" applyBorder="1" applyAlignment="1"/>
    <xf numFmtId="166" fontId="2" fillId="4" borderId="12" xfId="2" applyNumberFormat="1" applyFont="1" applyFill="1" applyBorder="1" applyAlignment="1"/>
    <xf numFmtId="166" fontId="2" fillId="4" borderId="13" xfId="2" applyNumberFormat="1" applyFont="1" applyFill="1" applyBorder="1" applyAlignment="1"/>
    <xf numFmtId="182" fontId="2" fillId="3" borderId="0" xfId="0" applyNumberFormat="1" applyFont="1" applyFill="1"/>
    <xf numFmtId="179" fontId="2" fillId="4" borderId="0" xfId="0" applyNumberFormat="1" applyFont="1" applyFill="1"/>
    <xf numFmtId="166" fontId="23" fillId="0" borderId="0" xfId="2" applyNumberFormat="1" applyFont="1"/>
    <xf numFmtId="6" fontId="6" fillId="4" borderId="0" xfId="0" applyNumberFormat="1" applyFont="1" applyFill="1"/>
    <xf numFmtId="0" fontId="5" fillId="0" borderId="0" xfId="0" applyFont="1" applyAlignment="1">
      <alignment horizontal="right"/>
    </xf>
    <xf numFmtId="165" fontId="16" fillId="4" borderId="23" xfId="2" applyNumberFormat="1" applyFont="1" applyFill="1" applyBorder="1" applyAlignment="1"/>
    <xf numFmtId="165" fontId="2" fillId="4" borderId="3" xfId="2" applyNumberFormat="1" applyFont="1" applyFill="1" applyBorder="1" applyAlignment="1"/>
    <xf numFmtId="0" fontId="0" fillId="0" borderId="3" xfId="0" applyBorder="1"/>
    <xf numFmtId="165" fontId="7" fillId="3" borderId="3" xfId="0" applyNumberFormat="1" applyFont="1" applyFill="1" applyBorder="1"/>
    <xf numFmtId="165" fontId="2" fillId="4" borderId="23" xfId="2" applyNumberFormat="1" applyFont="1" applyFill="1" applyBorder="1" applyAlignment="1"/>
    <xf numFmtId="166" fontId="2" fillId="4" borderId="12" xfId="0" applyNumberFormat="1" applyFont="1" applyFill="1" applyBorder="1"/>
    <xf numFmtId="44" fontId="7" fillId="4" borderId="0" xfId="4" applyFont="1" applyFill="1" applyBorder="1"/>
    <xf numFmtId="165" fontId="7" fillId="3" borderId="26" xfId="0" applyNumberFormat="1" applyFont="1" applyFill="1" applyBorder="1"/>
    <xf numFmtId="164" fontId="2" fillId="3" borderId="12" xfId="1" applyNumberFormat="1" applyFont="1" applyFill="1" applyBorder="1" applyAlignment="1"/>
    <xf numFmtId="171" fontId="7" fillId="3" borderId="0" xfId="2" applyNumberFormat="1" applyFont="1" applyFill="1" applyBorder="1"/>
    <xf numFmtId="166" fontId="2" fillId="4" borderId="0" xfId="2" applyNumberFormat="1" applyFont="1" applyFill="1" applyBorder="1"/>
    <xf numFmtId="167" fontId="0" fillId="3" borderId="12" xfId="0" applyNumberFormat="1" applyFill="1" applyBorder="1" applyAlignment="1">
      <alignment horizontal="center"/>
    </xf>
    <xf numFmtId="164" fontId="12" fillId="0" borderId="12" xfId="1" applyNumberFormat="1" applyFont="1" applyBorder="1"/>
    <xf numFmtId="164" fontId="0" fillId="3" borderId="12" xfId="1" applyNumberFormat="1" applyFont="1" applyFill="1" applyBorder="1"/>
    <xf numFmtId="44" fontId="2" fillId="4" borderId="12" xfId="4" applyFont="1" applyFill="1" applyBorder="1" applyAlignment="1"/>
    <xf numFmtId="0" fontId="24" fillId="13" borderId="9" xfId="8" applyFill="1" applyBorder="1"/>
    <xf numFmtId="0" fontId="6" fillId="0" borderId="9" xfId="8" applyFont="1" applyFill="1" applyBorder="1"/>
    <xf numFmtId="0" fontId="0" fillId="0" borderId="0" xfId="0" applyBorder="1"/>
    <xf numFmtId="167" fontId="2" fillId="3" borderId="0" xfId="0" applyNumberFormat="1" applyFont="1" applyFill="1" applyBorder="1" applyAlignment="1">
      <alignment horizontal="center"/>
    </xf>
    <xf numFmtId="16" fontId="0" fillId="3" borderId="0" xfId="0" applyNumberFormat="1" applyFill="1" applyBorder="1" applyAlignment="1">
      <alignment horizontal="center"/>
    </xf>
    <xf numFmtId="8" fontId="7" fillId="4" borderId="0" xfId="0" applyNumberFormat="1" applyFont="1" applyFill="1" applyBorder="1"/>
    <xf numFmtId="164" fontId="2" fillId="3" borderId="0" xfId="0" applyNumberFormat="1" applyFont="1" applyFill="1" applyBorder="1"/>
    <xf numFmtId="164" fontId="2" fillId="4" borderId="0" xfId="0" applyNumberFormat="1" applyFont="1" applyFill="1" applyBorder="1"/>
    <xf numFmtId="8" fontId="2" fillId="4" borderId="0" xfId="0" applyNumberFormat="1" applyFont="1" applyFill="1" applyBorder="1"/>
    <xf numFmtId="8" fontId="2" fillId="3" borderId="0" xfId="0" applyNumberFormat="1" applyFont="1" applyFill="1" applyBorder="1"/>
    <xf numFmtId="165" fontId="7" fillId="3" borderId="0" xfId="0" applyNumberFormat="1" applyFont="1" applyFill="1" applyBorder="1"/>
    <xf numFmtId="165" fontId="7" fillId="3" borderId="0" xfId="0" applyNumberFormat="1" applyFont="1" applyFill="1" applyBorder="1" applyAlignment="1">
      <alignment horizontal="right"/>
    </xf>
    <xf numFmtId="0" fontId="4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quotePrefix="1" applyFont="1" applyFill="1" applyBorder="1" applyAlignment="1">
      <alignment horizontal="right"/>
    </xf>
    <xf numFmtId="0" fontId="4" fillId="3" borderId="0" xfId="0" applyFont="1" applyFill="1" applyBorder="1" applyAlignment="1">
      <alignment horizontal="right"/>
    </xf>
    <xf numFmtId="0" fontId="14" fillId="3" borderId="0" xfId="0" quotePrefix="1" applyFont="1" applyFill="1" applyBorder="1" applyAlignment="1">
      <alignment horizontal="right"/>
    </xf>
    <xf numFmtId="0" fontId="39" fillId="3" borderId="0" xfId="0" quotePrefix="1" applyFont="1" applyFill="1" applyBorder="1" applyAlignment="1">
      <alignment horizontal="right"/>
    </xf>
    <xf numFmtId="0" fontId="14" fillId="7" borderId="0" xfId="0" quotePrefix="1" applyFont="1" applyFill="1" applyBorder="1" applyAlignment="1">
      <alignment horizontal="right"/>
    </xf>
    <xf numFmtId="0" fontId="14" fillId="3" borderId="0" xfId="0" quotePrefix="1" applyFont="1" applyFill="1" applyBorder="1" applyAlignment="1">
      <alignment horizontal="center"/>
    </xf>
    <xf numFmtId="0" fontId="14" fillId="3" borderId="0" xfId="0" quotePrefix="1" applyFont="1" applyFill="1" applyBorder="1" applyAlignment="1">
      <alignment horizontal="center" wrapText="1"/>
    </xf>
    <xf numFmtId="8" fontId="6" fillId="4" borderId="0" xfId="0" applyNumberFormat="1" applyFont="1" applyFill="1" applyBorder="1"/>
    <xf numFmtId="8" fontId="2" fillId="0" borderId="0" xfId="0" applyNumberFormat="1" applyFont="1" applyBorder="1"/>
    <xf numFmtId="167" fontId="0" fillId="3" borderId="0" xfId="0" applyNumberFormat="1" applyFill="1" applyBorder="1" applyAlignment="1">
      <alignment horizontal="center"/>
    </xf>
    <xf numFmtId="178" fontId="6" fillId="4" borderId="0" xfId="0" applyNumberFormat="1" applyFont="1" applyFill="1" applyBorder="1"/>
    <xf numFmtId="169" fontId="2" fillId="3" borderId="0" xfId="0" applyNumberFormat="1" applyFont="1" applyFill="1" applyBorder="1"/>
    <xf numFmtId="169" fontId="6" fillId="3" borderId="0" xfId="0" applyNumberFormat="1" applyFont="1" applyFill="1" applyBorder="1"/>
    <xf numFmtId="164" fontId="6" fillId="3" borderId="0" xfId="0" applyNumberFormat="1" applyFont="1" applyFill="1" applyBorder="1"/>
    <xf numFmtId="8" fontId="6" fillId="3" borderId="0" xfId="0" applyNumberFormat="1" applyFont="1" applyFill="1" applyBorder="1"/>
    <xf numFmtId="164" fontId="7" fillId="3" borderId="0" xfId="0" applyNumberFormat="1" applyFont="1" applyFill="1" applyBorder="1"/>
    <xf numFmtId="173" fontId="2" fillId="3" borderId="0" xfId="0" applyNumberFormat="1" applyFont="1" applyFill="1" applyBorder="1" applyAlignment="1">
      <alignment horizontal="right"/>
    </xf>
    <xf numFmtId="8" fontId="7" fillId="3" borderId="0" xfId="0" applyNumberFormat="1" applyFont="1" applyFill="1" applyBorder="1"/>
    <xf numFmtId="175" fontId="7" fillId="3" borderId="0" xfId="0" applyNumberFormat="1" applyFont="1" applyFill="1" applyBorder="1" applyAlignment="1">
      <alignment horizontal="right"/>
    </xf>
    <xf numFmtId="6" fontId="6" fillId="4" borderId="0" xfId="0" applyNumberFormat="1" applyFont="1" applyFill="1" applyBorder="1"/>
    <xf numFmtId="182" fontId="2" fillId="3" borderId="0" xfId="0" applyNumberFormat="1" applyFont="1" applyFill="1" applyBorder="1"/>
    <xf numFmtId="179" fontId="2" fillId="4" borderId="0" xfId="0" applyNumberFormat="1" applyFont="1" applyFill="1" applyBorder="1"/>
    <xf numFmtId="8" fontId="23" fillId="3" borderId="0" xfId="0" applyNumberFormat="1" applyFont="1" applyFill="1" applyBorder="1"/>
    <xf numFmtId="8" fontId="0" fillId="0" borderId="0" xfId="0" applyNumberFormat="1" applyBorder="1"/>
    <xf numFmtId="167" fontId="6" fillId="3" borderId="0" xfId="0" applyNumberFormat="1" applyFont="1" applyFill="1" applyBorder="1" applyAlignment="1">
      <alignment horizontal="center"/>
    </xf>
    <xf numFmtId="171" fontId="0" fillId="0" borderId="0" xfId="0" applyNumberFormat="1" applyBorder="1"/>
    <xf numFmtId="166" fontId="2" fillId="4" borderId="0" xfId="0" applyNumberFormat="1" applyFont="1" applyFill="1" applyBorder="1"/>
    <xf numFmtId="164" fontId="22" fillId="5" borderId="0" xfId="0" applyNumberFormat="1" applyFont="1" applyFill="1" applyBorder="1"/>
    <xf numFmtId="165" fontId="7" fillId="7" borderId="0" xfId="0" applyNumberFormat="1" applyFont="1" applyFill="1" applyBorder="1"/>
    <xf numFmtId="1" fontId="2" fillId="0" borderId="0" xfId="0" applyNumberFormat="1" applyFont="1" applyBorder="1"/>
    <xf numFmtId="169" fontId="2" fillId="0" borderId="0" xfId="0" applyNumberFormat="1" applyFont="1" applyBorder="1"/>
    <xf numFmtId="17" fontId="0" fillId="0" borderId="0" xfId="0" applyNumberFormat="1" applyBorder="1"/>
    <xf numFmtId="167" fontId="9" fillId="3" borderId="0" xfId="0" applyNumberFormat="1" applyFont="1" applyFill="1" applyBorder="1" applyAlignment="1">
      <alignment horizontal="center"/>
    </xf>
    <xf numFmtId="0" fontId="9" fillId="0" borderId="0" xfId="0" applyFont="1" applyBorder="1"/>
    <xf numFmtId="8" fontId="20" fillId="4" borderId="0" xfId="0" applyNumberFormat="1" applyFont="1" applyFill="1" applyBorder="1"/>
    <xf numFmtId="164" fontId="16" fillId="3" borderId="0" xfId="0" applyNumberFormat="1" applyFont="1" applyFill="1" applyBorder="1"/>
    <xf numFmtId="164" fontId="17" fillId="3" borderId="0" xfId="0" applyNumberFormat="1" applyFont="1" applyFill="1" applyBorder="1"/>
    <xf numFmtId="8" fontId="16" fillId="3" borderId="0" xfId="0" applyNumberFormat="1" applyFont="1" applyFill="1" applyBorder="1"/>
    <xf numFmtId="8" fontId="17" fillId="3" borderId="0" xfId="0" applyNumberFormat="1" applyFont="1" applyFill="1" applyBorder="1"/>
    <xf numFmtId="165" fontId="19" fillId="3" borderId="0" xfId="0" applyNumberFormat="1" applyFont="1" applyFill="1" applyBorder="1"/>
    <xf numFmtId="176" fontId="6" fillId="4" borderId="0" xfId="0" applyNumberFormat="1" applyFont="1" applyFill="1" applyBorder="1" applyAlignment="1">
      <alignment horizontal="right"/>
    </xf>
    <xf numFmtId="174" fontId="2" fillId="3" borderId="0" xfId="0" applyNumberFormat="1" applyFont="1" applyFill="1" applyBorder="1" applyAlignment="1">
      <alignment horizontal="right"/>
    </xf>
    <xf numFmtId="164" fontId="2" fillId="0" borderId="0" xfId="0" applyNumberFormat="1" applyFont="1" applyBorder="1"/>
    <xf numFmtId="173" fontId="2" fillId="0" borderId="0" xfId="0" applyNumberFormat="1" applyFont="1" applyBorder="1" applyAlignment="1">
      <alignment horizontal="right"/>
    </xf>
    <xf numFmtId="174" fontId="2" fillId="0" borderId="0" xfId="0" applyNumberFormat="1" applyFont="1" applyBorder="1" applyAlignment="1">
      <alignment horizontal="right"/>
    </xf>
    <xf numFmtId="174" fontId="6" fillId="4" borderId="0" xfId="0" applyNumberFormat="1" applyFont="1" applyFill="1" applyBorder="1" applyAlignment="1">
      <alignment horizontal="right"/>
    </xf>
    <xf numFmtId="8" fontId="13" fillId="4" borderId="0" xfId="0" applyNumberFormat="1" applyFont="1" applyFill="1" applyBorder="1"/>
    <xf numFmtId="0" fontId="2" fillId="0" borderId="0" xfId="0" applyFont="1" applyBorder="1"/>
    <xf numFmtId="165" fontId="15" fillId="4" borderId="0" xfId="0" applyNumberFormat="1" applyFont="1" applyFill="1" applyBorder="1"/>
    <xf numFmtId="0" fontId="0" fillId="0" borderId="28" xfId="0" applyBorder="1"/>
    <xf numFmtId="0" fontId="0" fillId="0" borderId="29" xfId="0" applyBorder="1"/>
    <xf numFmtId="167" fontId="2" fillId="3" borderId="29" xfId="0" applyNumberFormat="1" applyFont="1" applyFill="1" applyBorder="1" applyAlignment="1">
      <alignment horizontal="center"/>
    </xf>
    <xf numFmtId="16" fontId="0" fillId="3" borderId="29" xfId="0" applyNumberFormat="1" applyFill="1" applyBorder="1" applyAlignment="1">
      <alignment horizontal="center"/>
    </xf>
    <xf numFmtId="8" fontId="6" fillId="4" borderId="29" xfId="0" applyNumberFormat="1" applyFont="1" applyFill="1" applyBorder="1"/>
    <xf numFmtId="164" fontId="2" fillId="3" borderId="29" xfId="0" applyNumberFormat="1" applyFont="1" applyFill="1" applyBorder="1"/>
    <xf numFmtId="164" fontId="5" fillId="0" borderId="29" xfId="1" applyNumberFormat="1" applyFont="1" applyBorder="1"/>
    <xf numFmtId="164" fontId="1" fillId="3" borderId="29" xfId="1" applyNumberFormat="1" applyFont="1" applyFill="1" applyBorder="1"/>
    <xf numFmtId="9" fontId="2" fillId="3" borderId="29" xfId="2" applyFont="1" applyFill="1" applyBorder="1" applyAlignment="1"/>
    <xf numFmtId="164" fontId="6" fillId="3" borderId="29" xfId="0" applyNumberFormat="1" applyFont="1" applyFill="1" applyBorder="1"/>
    <xf numFmtId="8" fontId="2" fillId="3" borderId="29" xfId="0" applyNumberFormat="1" applyFont="1" applyFill="1" applyBorder="1"/>
    <xf numFmtId="165" fontId="7" fillId="3" borderId="29" xfId="0" applyNumberFormat="1" applyFont="1" applyFill="1" applyBorder="1"/>
    <xf numFmtId="165" fontId="7" fillId="3" borderId="30" xfId="0" applyNumberFormat="1" applyFont="1" applyFill="1" applyBorder="1" applyAlignment="1">
      <alignment horizontal="right"/>
    </xf>
    <xf numFmtId="165" fontId="7" fillId="3" borderId="29" xfId="0" applyNumberFormat="1" applyFont="1" applyFill="1" applyBorder="1" applyAlignment="1">
      <alignment horizontal="right"/>
    </xf>
    <xf numFmtId="165" fontId="2" fillId="4" borderId="29" xfId="2" applyNumberFormat="1" applyFont="1" applyFill="1" applyBorder="1" applyAlignment="1"/>
    <xf numFmtId="165" fontId="2" fillId="4" borderId="30" xfId="2" applyNumberFormat="1" applyFont="1" applyFill="1" applyBorder="1" applyAlignment="1"/>
    <xf numFmtId="165" fontId="2" fillId="4" borderId="29" xfId="2" applyNumberFormat="1" applyFont="1" applyFill="1" applyBorder="1"/>
    <xf numFmtId="8" fontId="2" fillId="7" borderId="29" xfId="2" applyNumberFormat="1" applyFont="1" applyFill="1" applyBorder="1" applyAlignment="1"/>
    <xf numFmtId="172" fontId="6" fillId="4" borderId="29" xfId="4" applyNumberFormat="1" applyFont="1" applyFill="1" applyBorder="1" applyAlignment="1"/>
    <xf numFmtId="8" fontId="2" fillId="4" borderId="29" xfId="2" applyNumberFormat="1" applyFont="1" applyFill="1" applyBorder="1" applyAlignment="1"/>
    <xf numFmtId="164" fontId="6" fillId="4" borderId="29" xfId="1" applyNumberFormat="1" applyFont="1" applyFill="1" applyBorder="1" applyAlignment="1"/>
    <xf numFmtId="8" fontId="6" fillId="4" borderId="29" xfId="2" applyNumberFormat="1" applyFont="1" applyFill="1" applyBorder="1" applyAlignment="1"/>
    <xf numFmtId="164" fontId="2" fillId="4" borderId="29" xfId="1" applyNumberFormat="1" applyFont="1" applyFill="1" applyBorder="1" applyAlignment="1"/>
    <xf numFmtId="166" fontId="7" fillId="3" borderId="30" xfId="2" applyNumberFormat="1" applyFont="1" applyFill="1" applyBorder="1" applyAlignment="1"/>
    <xf numFmtId="166" fontId="7" fillId="3" borderId="29" xfId="2" applyNumberFormat="1" applyFont="1" applyFill="1" applyBorder="1" applyAlignment="1"/>
    <xf numFmtId="165" fontId="6" fillId="4" borderId="30" xfId="2" applyNumberFormat="1" applyFont="1" applyFill="1" applyBorder="1" applyAlignment="1"/>
    <xf numFmtId="165" fontId="6" fillId="4" borderId="29" xfId="2" applyNumberFormat="1" applyFont="1" applyFill="1" applyBorder="1" applyAlignment="1"/>
    <xf numFmtId="166" fontId="7" fillId="3" borderId="31" xfId="2" applyNumberFormat="1" applyFont="1" applyFill="1" applyBorder="1" applyAlignment="1"/>
    <xf numFmtId="166" fontId="2" fillId="4" borderId="29" xfId="2" applyNumberFormat="1" applyFont="1" applyFill="1" applyBorder="1" applyAlignment="1"/>
    <xf numFmtId="166" fontId="7" fillId="3" borderId="29" xfId="2" applyNumberFormat="1" applyFont="1" applyFill="1" applyBorder="1" applyAlignment="1">
      <alignment horizontal="right"/>
    </xf>
    <xf numFmtId="166" fontId="2" fillId="4" borderId="29" xfId="2" applyNumberFormat="1" applyFont="1" applyFill="1" applyBorder="1" applyAlignment="1">
      <alignment horizontal="right"/>
    </xf>
    <xf numFmtId="166" fontId="7" fillId="3" borderId="31" xfId="2" applyNumberFormat="1" applyFont="1" applyFill="1" applyBorder="1" applyAlignment="1">
      <alignment horizontal="right"/>
    </xf>
    <xf numFmtId="165" fontId="2" fillId="4" borderId="27" xfId="2" applyNumberFormat="1" applyFont="1" applyFill="1" applyBorder="1" applyAlignment="1"/>
    <xf numFmtId="165" fontId="7" fillId="3" borderId="27" xfId="0" applyNumberFormat="1" applyFont="1" applyFill="1" applyBorder="1"/>
  </cellXfs>
  <cellStyles count="12">
    <cellStyle name="Comma" xfId="1" builtinId="3"/>
    <cellStyle name="Comma 2" xfId="5" xr:uid="{8B6499C5-DFE7-4576-B4F9-AE1BC74B7B55}"/>
    <cellStyle name="Currency" xfId="4" builtinId="4"/>
    <cellStyle name="fa_data_standard_2_grouped" xfId="11" xr:uid="{F080CB9B-0BB2-4389-B0D2-9A13497EC699}"/>
    <cellStyle name="Good" xfId="8" builtinId="26"/>
    <cellStyle name="Heading 1" xfId="9" builtinId="16"/>
    <cellStyle name="Normal" xfId="0" builtinId="0"/>
    <cellStyle name="Normal 2 6" xfId="10" xr:uid="{D10698F9-1932-4CB9-B54A-29341E1F6C15}"/>
    <cellStyle name="Normal 5" xfId="7" xr:uid="{F92A5827-21B8-4D4F-8A85-2E133131BB3F}"/>
    <cellStyle name="Note" xfId="3" builtinId="10"/>
    <cellStyle name="Percent" xfId="2" builtinId="5"/>
    <cellStyle name="Percent 3 2" xfId="6" xr:uid="{374E2E3A-F4BD-42A8-B23D-5AC108C711DA}"/>
  </cellStyles>
  <dxfs count="1">
    <dxf>
      <font>
        <color auto="1"/>
      </font>
    </dxf>
  </dxfs>
  <tableStyles count="0" defaultTableStyle="TableStyleMedium2" defaultPivotStyle="PivotStyleLight16"/>
  <colors>
    <mruColors>
      <color rgb="FF0000FF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BQL|15124263844324464807</stp>
        <tr r="FA30" s="1"/>
      </tp>
      <tp t="s">
        <v>#N/A N/A</v>
        <stp/>
        <stp>BQL|14930979468707265354</stp>
        <tr r="H35" s="1"/>
      </tp>
      <tp t="s">
        <v>#N/A N/A</v>
        <stp/>
        <stp>BQL|14655411449793403879</stp>
        <tr r="EY30" s="1"/>
      </tp>
      <tp t="s">
        <v>#N/A N/A</v>
        <stp/>
        <stp>BQL|17861559894353560744</stp>
        <tr r="H31" s="1"/>
      </tp>
      <tp t="s">
        <v>#N/A N/A</v>
        <stp/>
        <stp>BQL|12253555308319899003</stp>
        <tr r="FA36" s="1"/>
      </tp>
      <tp t="s">
        <v>#N/A N/A</v>
        <stp/>
        <stp>BQL|17602904877764530329</stp>
        <tr r="H11" s="1"/>
      </tp>
      <tp t="s">
        <v>#N/A N/A</v>
        <stp/>
        <stp>BQL|15197981944057907255</stp>
        <tr r="H47" s="1"/>
      </tp>
      <tp t="s">
        <v>#N/A N/A</v>
        <stp/>
        <stp>BQL|10016202781212135535</stp>
        <tr r="H37" s="1"/>
      </tp>
      <tp t="s">
        <v>#N/A N/A</v>
        <stp/>
        <stp>BQL|13277767833679238381</stp>
        <tr r="H29" s="1"/>
      </tp>
      <tp t="s">
        <v>#N/A N/A</v>
        <stp/>
        <stp>BQL|16254607375862882863</stp>
        <tr r="EY47" s="1"/>
      </tp>
      <tp t="s">
        <v>#N/A N/A</v>
        <stp/>
        <stp>BQL|11008990723044813214</stp>
        <tr r="I32" s="1"/>
      </tp>
      <tp t="s">
        <v>#N/A N/A</v>
        <stp/>
        <stp>BQL|16493754923386940952</stp>
        <tr r="H15" s="1"/>
      </tp>
      <tp t="s">
        <v>#N/A N/A</v>
        <stp/>
        <stp>BQL|12032516133707781801</stp>
        <tr r="H44" s="1"/>
      </tp>
      <tp t="s">
        <v>#N/A N/A</v>
        <stp/>
        <stp>BQL|10637155091864197715</stp>
        <tr r="FA42" s="1"/>
      </tp>
      <tp t="s">
        <v>#N/A N/A</v>
        <stp/>
        <stp>BQL|10268771799063336643</stp>
        <tr r="H42" s="1"/>
      </tp>
      <tp t="s">
        <v>#N/A N/A</v>
        <stp/>
        <stp>BQL|13524379489394574631</stp>
        <tr r="EX31" s="1"/>
      </tp>
      <tp t="s">
        <v>#N/A N/A</v>
        <stp/>
        <stp>BQL|14241111977323898837</stp>
        <tr r="H51" s="1"/>
      </tp>
      <tp t="s">
        <v>#N/A N/A</v>
        <stp/>
        <stp>BQL|15515164124899820762</stp>
        <tr r="H32" s="1"/>
      </tp>
      <tp t="s">
        <v>#N/A N/A</v>
        <stp/>
        <stp>BQL|10649931711816787682</stp>
        <tr r="H19" s="1"/>
      </tp>
      <tp t="s">
        <v>#N/A N/A</v>
        <stp/>
        <stp>BQL|18295750958644143934</stp>
        <tr r="H14" s="1"/>
      </tp>
      <tp t="s">
        <v>#N/A N/A</v>
        <stp/>
        <stp>BQL|11980915391476582026</stp>
        <tr r="H41" s="1"/>
      </tp>
      <tp t="s">
        <v>#N/A N/A</v>
        <stp/>
        <stp>BQL|13615501721346696591</stp>
        <tr r="H40" s="1"/>
      </tp>
      <tp t="s">
        <v>#N/A N/A</v>
        <stp/>
        <stp>BQL|15727616218086722313</stp>
        <tr r="FA48" s="1"/>
      </tp>
      <tp t="s">
        <v>#N/A N/A</v>
        <stp/>
        <stp>BQL|14941771961542642197</stp>
        <tr r="H10" s="1"/>
      </tp>
      <tp t="s">
        <v>#N/A N/A</v>
        <stp/>
        <stp>BQL|11339715343873520799</stp>
        <tr r="H17" s="9"/>
      </tp>
      <tp t="s">
        <v>#N/A N/A</v>
        <stp/>
        <stp>BQL|10135329303617113295</stp>
        <tr r="H50" s="1"/>
      </tp>
      <tp t="s">
        <v>#N/A N/A</v>
        <stp/>
        <stp>BQL|17612445454845680602</stp>
        <tr r="FA44" s="1"/>
      </tp>
      <tp t="s">
        <v>#N/A N/A</v>
        <stp/>
        <stp>BQL|11188665137868249875</stp>
        <tr r="H43" s="1"/>
      </tp>
      <tp t="s">
        <v>#N/A N/A</v>
        <stp/>
        <stp>BQL|17894985278279679469</stp>
        <tr r="EX48" s="1"/>
      </tp>
      <tp t="s">
        <v>#N/A N/A</v>
        <stp/>
        <stp>BQL|13707565947427872144</stp>
        <tr r="H21" s="1"/>
      </tp>
      <tp t="s">
        <v>#N/A N/A</v>
        <stp/>
        <stp>BQL|15061764991510495875</stp>
        <tr r="EX42" s="1"/>
      </tp>
      <tp t="s">
        <v>#N/A N/A</v>
        <stp/>
        <stp>BQL|17055131708181244427</stp>
        <tr r="H18" s="9"/>
      </tp>
      <tp t="s">
        <v>#N/A N/A</v>
        <stp/>
        <stp>BQL|12647291848104171252</stp>
        <tr r="EY44" s="1"/>
      </tp>
      <tp t="s">
        <v>#N/A N/A</v>
        <stp/>
        <stp>BQL|15946545324175427568</stp>
        <tr r="EZ44" s="1"/>
      </tp>
      <tp t="s">
        <v>#N/A N/A</v>
        <stp/>
        <stp>BQL|10611550457996231725</stp>
        <tr r="EY31" s="1"/>
      </tp>
      <tp t="s">
        <v>#N/A N/A</v>
        <stp/>
        <stp>BQL|14615180220550790686</stp>
        <tr r="FA29" s="1"/>
      </tp>
      <tp t="s">
        <v>#N/A N/A</v>
        <stp/>
        <stp>BQL|10855223670096762239</stp>
        <tr r="H30" s="1"/>
      </tp>
      <tp t="s">
        <v>#N/A N/A</v>
        <stp/>
        <stp>BQL|11599012512417780765</stp>
        <tr r="H48" s="1"/>
      </tp>
      <tp t="s">
        <v>#N/A N/A</v>
        <stp/>
        <stp>BDP|17974994768837824547</stp>
        <tr r="EC30" s="1"/>
      </tp>
      <tp t="s">
        <v>#N/A Requesting Data...4096406840</v>
        <stp/>
        <stp>BDP|14517540037088110035</stp>
        <tr r="EE14" s="9"/>
      </tp>
      <tp t="s">
        <v>#N/A N/A</v>
        <stp/>
        <stp>BDP|18252206867432244400</stp>
        <tr r="EB27" s="1"/>
      </tp>
      <tp t="s">
        <v>#N/A N/A</v>
        <stp/>
        <stp>BDP|17308211947863182833</stp>
        <tr r="EB51" s="1"/>
      </tp>
      <tp t="s">
        <v>#N/A N/A</v>
        <stp/>
        <stp>BDP|12423937262052585416</stp>
        <tr r="ED50" s="1"/>
      </tp>
      <tp t="s">
        <v>#N/A Requesting Data...4192591392</v>
        <stp/>
        <stp>BDP|11196273403700475842</stp>
        <tr r="EE11" s="9"/>
      </tp>
      <tp t="s">
        <v>#N/A N/A</v>
        <stp/>
        <stp>BDP|13319256092621435279</stp>
        <tr r="ED21" s="1"/>
      </tp>
      <tp t="s">
        <v>#N/A Requesting Data...4194781112</v>
        <stp/>
        <stp>BDP|16202517710901459806</stp>
        <tr r="C3" s="7"/>
      </tp>
      <tp t="s">
        <v>#N/A N/A</v>
        <stp/>
        <stp>BDP|17856474182396438521</stp>
        <tr r="EC47" s="1"/>
      </tp>
      <tp t="s">
        <v>#N/A Requesting Data...4114234256</v>
        <stp/>
        <stp>BDP|13206072676538613411</stp>
        <tr r="ED14" s="9"/>
      </tp>
      <tp t="s">
        <v>#N/A N/A</v>
        <stp/>
        <stp>BDP|13306133941336242870</stp>
        <tr r="EB21" s="1"/>
      </tp>
      <tp t="s">
        <v>#N/A Requesting Data...4173272365</v>
        <stp/>
        <stp>BDP|15746567987512977292</stp>
        <tr r="ED15" s="9"/>
      </tp>
      <tp t="s">
        <v>#N/A N/A</v>
        <stp/>
        <stp>BDP|17153225297280825502</stp>
        <tr r="EC37" s="1"/>
      </tp>
      <tp t="s">
        <v>#N/A N/A</v>
        <stp/>
        <stp>BDP|18028848104539882081</stp>
        <tr r="EC27" s="1"/>
      </tp>
      <tp t="s">
        <v>#N/A N/A</v>
        <stp/>
        <stp>BDP|11023967963466614169</stp>
        <tr r="BY55" s="1"/>
      </tp>
      <tp t="s">
        <v>#N/A Requesting Data...4239488438</v>
        <stp/>
        <stp>BDP|12654997407862939046</stp>
        <tr r="EE18" s="9"/>
      </tp>
      <tp t="s">
        <v>#N/A N/A</v>
        <stp/>
        <stp>BDP|15318741490847094525</stp>
        <tr r="EB37" s="1"/>
      </tp>
      <tp t="s">
        <v>#N/A N/A</v>
        <stp/>
        <stp>BDP|15969555199982880296</stp>
        <tr r="EB50" s="1"/>
      </tp>
      <tp t="s">
        <v>#N/A N/A</v>
        <stp/>
        <stp>BDP|15186302915676120829</stp>
        <tr r="ED30" s="1"/>
      </tp>
      <tp t="s">
        <v>#N/A Requesting Data...4257766744</v>
        <stp/>
        <stp>BDP|10870968475755172537</stp>
        <tr r="EO18" s="9"/>
      </tp>
      <tp t="s">
        <v>#N/A N/A</v>
        <stp/>
        <stp>BDP|15762980372661030462</stp>
        <tr r="ED11" s="1"/>
      </tp>
      <tp t="s">
        <v>#N/A Requesting Data...4210804762</v>
        <stp/>
        <stp>BDP|16957618663140744806</stp>
        <tr r="ED16" s="9"/>
      </tp>
      <tp t="s">
        <v>#N/A Requesting Data...4172803659</v>
        <stp/>
        <stp>BDP|17676631501978678723</stp>
        <tr r="F3" s="7"/>
      </tp>
      <tp t="s">
        <v>#N/A N/A</v>
        <stp/>
        <stp>BDP|10653017612127661832</stp>
        <tr r="ED22" s="1"/>
      </tp>
      <tp t="s">
        <v>#N/A Requesting Data...4289292333</v>
        <stp/>
        <stp>BDP|18202484269450822579</stp>
        <tr r="EO19" s="9"/>
      </tp>
      <tp t="s">
        <v>#N/A Requesting Data...4236632785</v>
        <stp/>
        <stp>BDP|12622255443743033805</stp>
        <tr r="H15" s="9"/>
      </tp>
      <tp t="s">
        <v>#N/A N/A</v>
        <stp/>
        <stp>BDP|17877138813399818288</stp>
        <tr r="EN7" s="1"/>
      </tp>
      <tp t="s">
        <v>#N/A N/A</v>
        <stp/>
        <stp>BDP|15126794175969424033</stp>
        <tr r="EC49" s="1"/>
      </tp>
      <tp t="s">
        <v>#N/A N/A</v>
        <stp/>
        <stp>BDP|14082026985933964347</stp>
        <tr r="EB12" s="1"/>
      </tp>
      <tp t="s">
        <v>#N/A N/A</v>
        <stp/>
        <stp>BDP|16947767095685306141</stp>
        <tr r="EC40" s="1"/>
      </tp>
      <tp t="s">
        <v>#N/A N/A</v>
        <stp/>
        <stp>BDP|16278441851828219350</stp>
        <tr r="EB31" s="1"/>
      </tp>
      <tp t="s">
        <v>#N/A Requesting Data...4195035250</v>
        <stp/>
        <stp>BDP|18235480906252810244</stp>
        <tr r="H11" s="9"/>
      </tp>
      <tp t="s">
        <v>#N/A N/A</v>
        <stp/>
        <stp>BDP|13110633417931238959</stp>
        <tr r="EN13" s="1"/>
      </tp>
      <tp t="s">
        <v>#N/A Requesting Data...4146249360</v>
        <stp/>
        <stp>BDP|11408324194446110114</stp>
        <tr r="EO12" s="9"/>
      </tp>
      <tp t="s">
        <v>#N/A N/A</v>
        <stp/>
        <stp>BDP|15012189108549612130</stp>
        <tr r="EB7" s="1"/>
      </tp>
      <tp t="s">
        <v>#N/A N/A</v>
        <stp/>
        <stp>BDP|14935730087383109493</stp>
        <tr r="ED42" s="1"/>
      </tp>
      <tp t="s">
        <v>#N/A Requesting Data...4238942538</v>
        <stp/>
        <stp>BDP|12765515087135222677</stp>
        <tr r="EO9" s="9"/>
      </tp>
      <tp t="s">
        <v>#N/A N/A</v>
        <stp/>
        <stp>BDP|15364785700667422981</stp>
        <tr r="ED27" s="1"/>
      </tp>
      <tp t="s">
        <v>#N/A N/A</v>
        <stp/>
        <stp>BDP|15504128792452497374</stp>
        <tr r="EC11" s="1"/>
      </tp>
      <tp t="s">
        <v>#N/A N/A</v>
        <stp/>
        <stp>BDP|16960243910678456026</stp>
        <tr r="EN9" s="1"/>
      </tp>
      <tp t="s">
        <v>#N/A N/A</v>
        <stp/>
        <stp>BDP|10152953741709716980</stp>
        <tr r="ED23" s="1"/>
      </tp>
      <tp t="s">
        <v>#N/A N/A</v>
        <stp/>
        <stp>BDP|16371847972987415300</stp>
        <tr r="ED10" s="1"/>
      </tp>
      <tp t="s">
        <v>#N/A N/A</v>
        <stp/>
        <stp>BDP|11590844692739281434</stp>
        <tr r="EN49" s="1"/>
      </tp>
      <tp t="s">
        <v>#N/A Requesting Data...4199930512</v>
        <stp/>
        <stp>BDP|13817155635100428334</stp>
        <tr r="E3" s="7"/>
      </tp>
      <tp t="s">
        <v>#N/A N/A</v>
        <stp/>
        <stp>BDP|17461875478712803804</stp>
        <tr r="EB49" s="1"/>
      </tp>
      <tp t="s">
        <v>#N/A N/A</v>
        <stp/>
        <stp>BDP|14231202826857374137</stp>
        <tr r="EB44" s="1"/>
      </tp>
      <tp t="s">
        <v>#N/A N/A</v>
        <stp/>
        <stp>BDP|14543280238644756355</stp>
        <tr r="EN28" s="1"/>
      </tp>
      <tp t="s">
        <v>#N/A N/A</v>
        <stp/>
        <stp>BDP|10689098372957128310</stp>
        <tr r="ED47" s="1"/>
      </tp>
      <tp t="s">
        <v>#N/A N/A</v>
        <stp/>
        <stp>BDP|11184648508123287736</stp>
        <tr r="EN15" s="1"/>
      </tp>
      <tp t="s">
        <v>#N/A N/A</v>
        <stp/>
        <stp>BDP|17834200685018343617</stp>
        <tr r="EB41" s="1"/>
      </tp>
      <tp t="s">
        <v>#N/A Requesting Data...4205415360</v>
        <stp/>
        <stp>BDP|17890763454440609571</stp>
        <tr r="EO16" s="9"/>
      </tp>
      <tp t="s">
        <v>#N/A Requesting Data...4232263615</v>
        <stp/>
        <stp>BDP|13359334009748416804</stp>
        <tr r="ED11" s="9"/>
      </tp>
      <tp t="s">
        <v>#N/A N/A</v>
        <stp/>
        <stp>BDP|18167436167242496833</stp>
        <tr r="ED28" s="1"/>
      </tp>
      <tp t="s">
        <v>#N/A N/A</v>
        <stp/>
        <stp>BDP|15405941274023713815</stp>
        <tr r="EB47" s="1"/>
      </tp>
      <tp t="s">
        <v>#N/A N/A</v>
        <stp/>
        <stp>BDP|13943945161009435408</stp>
        <tr r="EC32" s="1"/>
      </tp>
      <tp t="s">
        <v>#N/A Requesting Data...4227489704</v>
        <stp/>
        <stp>BDP|15118292430917420244</stp>
        <tr r="H12" s="9"/>
      </tp>
      <tp t="s">
        <v>#N/A N/A</v>
        <stp/>
        <stp>BDP|17318347865733337095</stp>
        <tr r="EB35" s="1"/>
      </tp>
      <tp t="s">
        <v>#N/A N/A</v>
        <stp/>
        <stp>BDP|15359219738872094708</stp>
        <tr r="EC43" s="1"/>
      </tp>
      <tp t="s">
        <v>#N/A N/A</v>
        <stp/>
        <stp>BDP|16848234504414476141</stp>
        <tr r="EB28" s="1"/>
      </tp>
      <tp t="s">
        <v>#N/A N/A</v>
        <stp/>
        <stp>BDP|13662132007013491072</stp>
        <tr r="EC50" s="1"/>
      </tp>
      <tp t="s">
        <v>#N/A Requesting Data...4274696492</v>
        <stp/>
        <stp>BDP|13340424411077306033</stp>
        <tr r="EC16" s="9"/>
      </tp>
      <tp t="s">
        <v>#N/A N/A</v>
        <stp/>
        <stp>BDP|11560238421919751933</stp>
        <tr r="EN14" s="1"/>
      </tp>
      <tp t="s">
        <v>#N/A Requesting Data...4200812578</v>
        <stp/>
        <stp>BDP|10302398657515591515</stp>
        <tr r="EC17" s="9"/>
      </tp>
      <tp t="s">
        <v>#N/A N/A</v>
        <stp/>
        <stp>BDP|14668284166943723575</stp>
        <tr r="CA54" s="1"/>
      </tp>
      <tp t="s">
        <v>#N/A N/A</v>
        <stp/>
        <stp>BDP|11920106056526715502</stp>
        <tr r="ED36" s="1"/>
      </tp>
      <tp t="s">
        <v>#N/A N/A</v>
        <stp/>
        <stp>BDP|16143370851047583192</stp>
        <tr r="EN19" s="1"/>
      </tp>
      <tp t="s">
        <v>#N/A N/A</v>
        <stp/>
        <stp>BDP|15305197425946346663</stp>
        <tr r="EC36" s="1"/>
      </tp>
      <tp t="s">
        <v>#N/A N/A</v>
        <stp/>
        <stp>BDP|17290697943866656543</stp>
        <tr r="ED29" s="1"/>
      </tp>
      <tp t="s">
        <v>#N/A N/A</v>
        <stp/>
        <stp>BDP|15479857730331191906</stp>
        <tr r="EN24" s="1"/>
      </tp>
      <tp t="s">
        <v>#N/A N/A</v>
        <stp/>
        <stp>BDP|12256779516940398303</stp>
        <tr r="EC19" s="1"/>
      </tp>
      <tp t="s">
        <v>#N/A N/A</v>
        <stp/>
        <stp>BDP|14585779860462504046</stp>
        <tr r="EC51" s="1"/>
      </tp>
      <tp t="s">
        <v>#N/A N/A</v>
        <stp/>
        <stp>BDP|11609283657470301188</stp>
        <tr r="EC15" s="1"/>
      </tp>
      <tp t="s">
        <v>#N/A Requesting Data...4179941043</v>
        <stp/>
        <stp>BDP|14375181659283060473</stp>
        <tr r="EE15" s="9"/>
      </tp>
      <tp t="s">
        <v>#N/A N/A</v>
        <stp/>
        <stp>BDP|13660113825895925124</stp>
        <tr r="EB32" s="1"/>
      </tp>
      <tp t="s">
        <v>#N/A N/A</v>
        <stp/>
        <stp>BDP|12966389156953988377</stp>
        <tr r="EC10" s="1"/>
      </tp>
      <tp t="s">
        <v>#N/A Requesting Data...4278064970</v>
        <stp/>
        <stp>BDP|15938927068497119992</stp>
        <tr r="EE10" s="9"/>
      </tp>
      <tp t="s">
        <v>#N/A N/A</v>
        <stp/>
        <stp>BDP|11363007999428189410</stp>
        <tr r="EB14" s="1"/>
      </tp>
      <tp t="s">
        <v>#N/A N/A</v>
        <stp/>
        <stp>BDP|13500686304213711223</stp>
        <tr r="EN37" s="1"/>
      </tp>
      <tp t="s">
        <v>#N/A N/A</v>
        <stp/>
        <stp>BDP|10860417767804582288</stp>
        <tr r="EB8" s="1"/>
      </tp>
      <tp t="s">
        <v>#N/A N/A</v>
        <stp/>
        <stp>BDP|17678609855064645474</stp>
        <tr r="EB24" s="1"/>
      </tp>
      <tp t="s">
        <v>#N/A N/A</v>
        <stp/>
        <stp>BDP|12783985434194830865</stp>
        <tr r="ED12" s="1"/>
      </tp>
      <tp t="s">
        <v>#N/A N/A</v>
        <stp/>
        <stp>BDP|11349156346021310172</stp>
        <tr r="ED7" s="1"/>
      </tp>
      <tp t="s">
        <v>#N/A Requesting Data...4236439040</v>
        <stp/>
        <stp>BDP|15951555607316973253</stp>
        <tr r="ED12" s="9"/>
      </tp>
      <tp t="s">
        <v>#N/A N/A</v>
        <stp/>
        <stp>BDP|10373253231194225089</stp>
        <tr r="EB55" s="1"/>
      </tp>
      <tp t="s">
        <v>#N/A N/A</v>
        <stp/>
        <stp>BDP|11593912254219791177</stp>
        <tr r="EB36" s="1"/>
      </tp>
    </main>
    <main first="bofaddin.rtdserver">
      <tp t="s">
        <v>#N/A N/A</v>
        <stp/>
        <stp>BQL.DATE|15433873233709226805</stp>
        <tr r="H40" s="1"/>
        <tr r="H24" s="1"/>
        <tr r="H14" s="1"/>
        <tr r="H27" s="1"/>
        <tr r="H29" s="1"/>
        <tr r="H9" s="1"/>
        <tr r="H20" s="1"/>
        <tr r="H8" s="1"/>
        <tr r="H41" s="1"/>
        <tr r="H30" s="1"/>
        <tr r="H13" s="1"/>
        <tr r="H19" s="9"/>
        <tr r="H31" s="1"/>
        <tr r="H42" s="1"/>
        <tr r="H23" s="1"/>
        <tr r="H12" s="1"/>
        <tr r="H19" s="1"/>
        <tr r="H15" s="1"/>
        <tr r="H32" s="1"/>
        <tr r="H43" s="1"/>
        <tr r="H18" s="1"/>
        <tr r="H48" s="1"/>
        <tr r="H18" s="9"/>
        <tr r="H51" s="1"/>
        <tr r="H22" s="1"/>
        <tr r="H47" s="1"/>
        <tr r="H7" s="1"/>
        <tr r="H28" s="1"/>
        <tr r="H35" s="1"/>
        <tr r="H50" s="1"/>
        <tr r="H36" s="1"/>
        <tr r="H10" s="1"/>
        <tr r="H49" s="1"/>
        <tr r="H11" s="1"/>
        <tr r="H44" s="1"/>
        <tr r="H37" s="1"/>
        <tr r="H17" s="9"/>
        <tr r="H21" s="1"/>
      </tp>
      <tp t="s">
        <v>#N/A N/A</v>
        <stp/>
        <stp>BDP|7634545030554368994</stp>
        <tr r="EC9" s="1"/>
      </tp>
      <tp t="s">
        <v>#N/A Requesting Data...4185242513</v>
        <stp/>
        <stp>BDP|2288900726437830224</stp>
        <tr r="ED9" s="9"/>
      </tp>
      <tp t="s">
        <v>#N/A N/A</v>
        <stp/>
        <stp>BDP|8283441841735234198</stp>
        <tr r="EB15" s="1"/>
      </tp>
      <tp t="s">
        <v>#N/A N/A</v>
        <stp/>
        <stp>BDP|5251684987901441699</stp>
        <tr r="EC18" s="1"/>
      </tp>
      <tp t="s">
        <v>#N/A N/A</v>
        <stp/>
        <stp>BQL|8156255267914651584</stp>
        <tr r="EX44" s="1"/>
      </tp>
      <tp t="s">
        <v>#N/A N/A</v>
        <stp/>
        <stp>BQL|2395453390466971434</stp>
        <tr r="I7" s="1"/>
      </tp>
      <tp t="s">
        <v>#N/A N/A</v>
        <stp/>
        <stp>BQL|8382592702502376239</stp>
        <tr r="EZ48" s="1"/>
      </tp>
      <tp t="s">
        <v>#N/A N/A</v>
        <stp/>
        <stp>BQL|5015417489711688587</stp>
        <tr r="EY29" s="1"/>
      </tp>
      <tp t="s">
        <v>#N/A N/A</v>
        <stp/>
        <stp>BQL|3539232897685337063</stp>
        <tr r="H36" s="1"/>
      </tp>
      <tp t="s">
        <v>#N/A N/A</v>
        <stp/>
        <stp>BQL|1506931143991507020</stp>
        <tr r="I30" s="1"/>
      </tp>
      <tp t="s">
        <v>#N/A N/A</v>
        <stp/>
        <stp>BDP|8002712860316249294</stp>
        <tr r="EB18" s="1"/>
      </tp>
      <tp t="s">
        <v>#N/A N/A</v>
        <stp/>
        <stp>BDP|7620767272962959801</stp>
        <tr r="ED48" s="1"/>
      </tp>
      <tp t="s">
        <v>#N/A Requesting Data...4281156676</v>
        <stp/>
        <stp>BDP|5912312321598794111</stp>
        <tr r="EE19" s="9"/>
      </tp>
      <tp t="s">
        <v>#N/A N/A</v>
        <stp/>
        <stp>BDP|3310693624708639253</stp>
        <tr r="EC24" s="1"/>
      </tp>
      <tp t="s">
        <v>#N/A Requesting Data...4279188728</v>
        <stp/>
        <stp>BDP|5086923248282063787</stp>
        <tr r="H14" s="9"/>
      </tp>
      <tp t="s">
        <v>#N/A Requesting Data...4181931610</v>
        <stp/>
        <stp>BDP|6430889397119001384</stp>
        <tr r="H9" s="9"/>
      </tp>
      <tp t="s">
        <v>#N/A N/A</v>
        <stp/>
        <stp>BDP|2526748883422731263</stp>
        <tr r="ED55" s="1"/>
      </tp>
      <tp t="s">
        <v>#N/A N/A</v>
        <stp/>
        <stp>BDP|4206122833509298202</stp>
        <tr r="EB20" s="1"/>
      </tp>
      <tp t="s">
        <v>#N/A N/A</v>
        <stp/>
        <stp>BDP|5365858221141460366</stp>
        <tr r="EB42" s="1"/>
      </tp>
      <tp t="s">
        <v>#N/A N/A</v>
        <stp/>
        <stp>BDP|5797041660094132983</stp>
        <tr r="EN32" s="1"/>
      </tp>
      <tp t="s">
        <v>#N/A N/A</v>
        <stp/>
        <stp>BDP|5831889216341479389</stp>
        <tr r="EC44" s="1"/>
      </tp>
      <tp t="s">
        <v>#N/A Requesting Data...4218158053</v>
        <stp/>
        <stp>BDP|7357668754898827223</stp>
        <tr r="ED18" s="9"/>
      </tp>
      <tp t="s">
        <v>#N/A N/A</v>
        <stp/>
        <stp>BDP|8651110471549652989</stp>
        <tr r="ED49" s="1"/>
      </tp>
      <tp t="s">
        <v>#N/A N/A</v>
        <stp/>
        <stp>BDP|8982241909233861743</stp>
        <tr r="ED8" s="1"/>
      </tp>
      <tp t="s">
        <v>#N/A N/A</v>
        <stp/>
        <stp>BDP|9788066168922473346</stp>
        <tr r="EC8" s="1"/>
      </tp>
      <tp t="s">
        <v>#N/A N/A</v>
        <stp/>
        <stp>BDP|9804484313871674379</stp>
        <tr r="EB43" s="1"/>
      </tp>
      <tp t="s">
        <v>#N/A N/A</v>
        <stp/>
        <stp>BDP|4349339426892380953</stp>
        <tr r="EN29" s="1"/>
      </tp>
      <tp t="s">
        <v>#N/A Requesting Data...4256240240</v>
        <stp/>
        <stp>BDP|7224225519099925363</stp>
        <tr r="EC14" s="9"/>
      </tp>
      <tp t="s">
        <v>#N/A N/A</v>
        <stp/>
        <stp>BQL|2117636897204860647</stp>
        <tr r="H7" s="1"/>
      </tp>
      <tp t="s">
        <v>#N/A N/A</v>
        <stp/>
        <stp>BQL|5102629933608977796</stp>
        <tr r="EX27" s="1"/>
      </tp>
      <tp t="s">
        <v>#N/A N/A</v>
        <stp/>
        <stp>BDP|8198869559428283243</stp>
        <tr r="EC7" s="1"/>
      </tp>
      <tp t="s">
        <v>#N/A N/A</v>
        <stp/>
        <stp>BDP|9039126933395132186</stp>
        <tr r="ED18" s="1"/>
      </tp>
      <tp t="s">
        <v>#N/A N/A</v>
        <stp/>
        <stp>BDP|6789869024764138786</stp>
        <tr r="EB30" s="1"/>
      </tp>
      <tp t="s">
        <v>#N/A N/A</v>
        <stp/>
        <stp>BDP|8659542137154648522</stp>
        <tr r="ED19" s="1"/>
      </tp>
      <tp t="s">
        <v>#N/A Requesting Data...4279368907</v>
        <stp/>
        <stp>BDP|1521815863038500832</stp>
        <tr r="ED10" s="9"/>
      </tp>
      <tp t="s">
        <v>#N/A N/A</v>
        <stp/>
        <stp>BDP|1312746062547545872</stp>
        <tr r="ED24" s="1"/>
      </tp>
      <tp t="s">
        <v>#N/A N/A</v>
        <stp/>
        <stp>BDP|8463863992684425209</stp>
        <tr r="EN12" s="1"/>
      </tp>
      <tp t="s">
        <v>#N/A N/A</v>
        <stp/>
        <stp>BDP|8438758279335830241</stp>
        <tr r="EC28" s="1"/>
      </tp>
      <tp t="s">
        <v>#N/A N/A</v>
        <stp/>
        <stp>BQL|9509449856332363235</stp>
        <tr r="I24" s="1"/>
      </tp>
      <tp t="s">
        <v>#N/A N/A</v>
        <stp/>
        <stp>BQL|2587078508748746280</stp>
        <tr r="FA31" s="1"/>
      </tp>
      <tp t="s">
        <v>#N/A N/A</v>
        <stp/>
        <stp>BQL|1633227627660671968</stp>
        <tr r="H13" s="1"/>
      </tp>
      <tp t="s">
        <v>#N/A N/A</v>
        <stp/>
        <stp>BDP|9939056910463716338</stp>
        <tr r="EB9" s="1"/>
      </tp>
      <tp t="s">
        <v>#N/A N/A</v>
        <stp/>
        <stp>BDP|5946963779793803068</stp>
        <tr r="EN44" s="1"/>
      </tp>
      <tp t="s">
        <v>#N/A N/A</v>
        <stp/>
        <stp>BDP|5137102875649741200</stp>
        <tr r="EN41" s="1"/>
      </tp>
      <tp t="s">
        <v>#N/A N/A</v>
        <stp/>
        <stp>BDP|4687194308854494938</stp>
        <tr r="ED37" s="1"/>
      </tp>
      <tp t="s">
        <v>#N/A N/A</v>
        <stp/>
        <stp>BDP|2056347664467132867</stp>
        <tr r="EN11" s="1"/>
      </tp>
      <tp t="s">
        <v>#N/A N/A</v>
        <stp/>
        <stp>BQL|8391921753345491887</stp>
        <tr r="H9" s="1"/>
      </tp>
      <tp t="s">
        <v>#N/A N/A</v>
        <stp/>
        <stp>BQL|9493512252105975598</stp>
        <tr r="H28" s="1"/>
      </tp>
      <tp t="s">
        <v>#N/A N/A</v>
        <stp/>
        <stp>BDP|6120318690833925641</stp>
        <tr r="ED32" s="1"/>
      </tp>
      <tp t="s">
        <v>#N/A N/A</v>
        <stp/>
        <stp>BDP|4254569786196476647</stp>
        <tr r="EB10" s="1"/>
      </tp>
      <tp t="s">
        <v>#N/A N/A</v>
        <stp/>
        <stp>BDP|8160431060121148213</stp>
        <tr r="EC14" s="1"/>
      </tp>
      <tp t="s">
        <v>#N/A N/A</v>
        <stp/>
        <stp>BDP|7159430255939045642</stp>
        <tr r="EC21" s="1"/>
      </tp>
      <tp t="s">
        <v>#N/A N/A</v>
        <stp/>
        <stp>BDP|4359235843638737351</stp>
        <tr r="EN20" s="1"/>
      </tp>
      <tp t="s">
        <v>#N/A N/A</v>
        <stp/>
        <stp>BDP|1377677857579443205</stp>
        <tr r="EB54" s="1"/>
      </tp>
      <tp t="s">
        <v>#N/A N/A</v>
        <stp/>
        <stp>BQL|7589016896804638056</stp>
        <tr r="EZ30" s="1"/>
      </tp>
      <tp t="s">
        <v>#N/A N/A</v>
        <stp/>
        <stp>BDP|7257832649392534359</stp>
        <tr r="EC23" s="1"/>
      </tp>
      <tp t="s">
        <v>#N/A N/A</v>
        <stp/>
        <stp>BDP|1900446781172088555</stp>
        <tr r="EC20" s="1"/>
      </tp>
      <tp t="s">
        <v>#N/A N/A</v>
        <stp/>
        <stp>BDP|3040777487017503180</stp>
        <tr r="EN27" s="1"/>
      </tp>
      <tp t="s">
        <v>#N/A N/A</v>
        <stp/>
        <stp>BDP|7424950832730743766</stp>
        <tr r="EN48" s="1"/>
      </tp>
      <tp t="s">
        <v>#N/A N/A</v>
        <stp/>
        <stp>BQL|6439578798911448010</stp>
        <tr r="EY27" s="1"/>
      </tp>
      <tp t="s">
        <v>#N/A N/A</v>
        <stp/>
        <stp>BQL|2984082998480049007</stp>
        <tr r="H20" s="1"/>
      </tp>
      <tp t="s">
        <v>#N/A N/A</v>
        <stp/>
        <stp>BQL|8643520720855540195</stp>
        <tr r="EX36" s="1"/>
      </tp>
      <tp t="s">
        <v>#N/A N/A</v>
        <stp/>
        <stp>BQL|6641993428656078003</stp>
        <tr r="H18" s="1"/>
      </tp>
      <tp t="s">
        <v>#N/A N/A</v>
        <stp/>
        <stp>BQL|2533316832260814989</stp>
        <tr r="H23" s="1"/>
      </tp>
      <tp t="s">
        <v>#N/A N/A</v>
        <stp/>
        <stp>BQL|2339830360563732457</stp>
        <tr r="EZ31" s="1"/>
      </tp>
      <tp t="s">
        <v>#N/A N/A</v>
        <stp/>
        <stp>BDP|2394188193879298805</stp>
        <tr r="EN8" s="1"/>
      </tp>
      <tp t="s">
        <v>#N/A N/A</v>
        <stp/>
        <stp>BDP|4486518312163937864</stp>
        <tr r="EC54" s="1"/>
      </tp>
      <tp t="s">
        <v>#N/A N/A</v>
        <stp/>
        <stp>BDP|9795086472756213309</stp>
        <tr r="CA55" s="1"/>
      </tp>
      <tp t="s">
        <v>#N/A N/A</v>
        <stp/>
        <stp>BDP|7930711816329001327</stp>
        <tr r="BY54" s="1"/>
      </tp>
      <tp t="s">
        <v>#N/A N/A</v>
        <stp/>
        <stp>BDP|6801974016980946524</stp>
        <tr r="ED44" s="1"/>
      </tp>
      <tp t="s">
        <v>#N/A N/A</v>
        <stp/>
        <stp>BDP|3070312110473375967</stp>
        <tr r="ED31" s="1"/>
      </tp>
      <tp t="s">
        <v>#N/A N/A</v>
        <stp/>
        <stp>BQL|6446309119555321599</stp>
        <tr r="EZ29" s="1"/>
      </tp>
      <tp t="s">
        <v>#N/A N/A</v>
        <stp/>
        <stp>BQL|6606313428185044698</stp>
        <tr r="H27" s="1"/>
      </tp>
      <tp t="s">
        <v>#N/A N/A</v>
        <stp/>
        <stp>BQL|3763299128413597424</stp>
        <tr r="EZ36" s="1"/>
      </tp>
      <tp t="s">
        <v>#N/A N/A</v>
        <stp/>
        <stp>BDP|8800644958607873844</stp>
        <tr r="EN18" s="1"/>
      </tp>
      <tp t="s">
        <v>#N/A N/A</v>
        <stp/>
        <stp>BDP|9336079970569919359</stp>
        <tr r="EN50" s="1"/>
      </tp>
      <tp t="s">
        <v>#N/A Requesting Data...4278516295</v>
        <stp/>
        <stp>BDP|9172391108796950803</stp>
        <tr r="EO10" s="9"/>
      </tp>
      <tp t="s">
        <v>#N/A N/A</v>
        <stp/>
        <stp>BDP|3227561357450806796</stp>
        <tr r="ED20" s="1"/>
      </tp>
      <tp t="s">
        <v>#N/A N/A</v>
        <stp/>
        <stp>BDP|9043239775249387171</stp>
        <tr r="EN47" s="1"/>
      </tp>
      <tp t="s">
        <v>#N/A N/A</v>
        <stp/>
        <stp>BQL|1982649925460961085</stp>
        <tr r="EZ42" s="1"/>
      </tp>
      <tp t="s">
        <v>#N/A Requesting Data...4262247075</v>
        <stp/>
        <stp>BDP|3824501750503666551</stp>
        <tr r="EO15" s="9"/>
      </tp>
      <tp t="s">
        <v>#N/A Requesting Data...4253720493</v>
        <stp/>
        <stp>BDP|5113470879665659626</stp>
        <tr r="EC18" s="9"/>
      </tp>
      <tp t="s">
        <v>#N/A N/A</v>
        <stp/>
        <stp>BDP|6190556652925556687</stp>
        <tr r="EC12" s="1"/>
      </tp>
      <tp t="s">
        <v>#N/A Requesting Data...4251880546</v>
        <stp/>
        <stp>BDP|7776719932513920548</stp>
        <tr r="H16" s="9"/>
      </tp>
      <tp t="s">
        <v>#N/A N/A</v>
        <stp/>
        <stp>BDP|9341788808273886827</stp>
        <tr r="ED15" s="1"/>
      </tp>
      <tp t="s">
        <v>#N/A N/A</v>
        <stp/>
        <stp>BDP|4826822263889183615</stp>
        <tr r="ED9" s="1"/>
      </tp>
      <tp t="s">
        <v>#N/A N/A</v>
        <stp/>
        <stp>BDP|3012871343918271283</stp>
        <tr r="EN51" s="1"/>
      </tp>
      <tp t="s">
        <v>#N/A N/A</v>
        <stp/>
        <stp>BDP|4331491420090336759</stp>
        <tr r="EB40" s="1"/>
      </tp>
      <tp t="s">
        <v>#N/A N/A</v>
        <stp/>
        <stp>BQL|2463807928376067847</stp>
        <tr r="H49" s="1"/>
      </tp>
      <tp t="s">
        <v>#N/A N/A</v>
        <stp/>
        <stp>BDP|3075740118741246248</stp>
        <tr r="EC29" s="1"/>
      </tp>
      <tp t="s">
        <v>#N/A N/A</v>
        <stp/>
        <stp>BDP|5668091063271589412</stp>
        <tr r="EN31" s="1"/>
      </tp>
      <tp t="s">
        <v>#N/A Requesting Data...4282259619</v>
        <stp/>
        <stp>BDP|4301032861337747397</stp>
        <tr r="EE17" s="9"/>
      </tp>
      <tp t="s">
        <v>#N/A N/A</v>
        <stp/>
        <stp>BDP|4752458503782991484</stp>
        <tr r="EC22" s="1"/>
      </tp>
      <tp t="s">
        <v>#N/A Requesting Data...4291133799</v>
        <stp/>
        <stp>BDP|5124335361860031623</stp>
        <tr r="G3" s="7"/>
      </tp>
      <tp t="s">
        <v>#N/A N/A</v>
        <stp/>
        <stp>BDP|1281242069115096681</stp>
        <tr r="EC55" s="1"/>
      </tp>
      <tp t="s">
        <v>#N/A N/A</v>
        <stp/>
        <stp>BQL|6180251930792268207</stp>
        <tr r="H22" s="1"/>
      </tp>
      <tp t="s">
        <v>#N/A N/A</v>
        <stp/>
        <stp>BQL|5205826871594598950</stp>
        <tr r="EY36" s="1"/>
      </tp>
      <tp t="s">
        <v>#N/A N/A</v>
        <stp/>
        <stp>BDP|3328722723445895451</stp>
        <tr r="ED43" s="1"/>
      </tp>
      <tp t="s">
        <v>#N/A N/A</v>
        <stp/>
        <stp>BDP|4704861826231002881</stp>
        <tr r="ED35" s="1"/>
      </tp>
      <tp t="s">
        <v>#N/A N/A</v>
        <stp/>
        <stp>BDP|9453828175332662393</stp>
        <tr r="EC48" s="1"/>
      </tp>
      <tp t="s">
        <v>#N/A N/A</v>
        <stp/>
        <stp>BDP|3181277094078698792</stp>
        <tr r="EC42" s="1"/>
      </tp>
      <tp t="s">
        <v>#N/A Requesting Data...4271052589</v>
        <stp/>
        <stp>BDP|6061861477008514643</stp>
        <tr r="EO11" s="9"/>
      </tp>
      <tp t="s">
        <v>#N/A N/A</v>
        <stp/>
        <stp>BDP|4208240056320512447</stp>
        <tr r="EN40" s="1"/>
      </tp>
      <tp t="s">
        <v>#N/A Requesting Data...4294868201</v>
        <stp/>
        <stp>BDP|3635731965034757113</stp>
        <tr r="D3" s="7"/>
      </tp>
      <tp t="s">
        <v>#N/A N/A</v>
        <stp/>
        <stp>BDP|7444076054944727174</stp>
        <tr r="ED54" s="1"/>
      </tp>
      <tp t="s">
        <v>#N/A Requesting Data...4285586531</v>
        <stp/>
        <stp>BDP|4270200250700379467</stp>
        <tr r="EO17" s="9"/>
      </tp>
      <tp t="s">
        <v>#N/A N/A</v>
        <stp/>
        <stp>BDP|9603935263048437979</stp>
        <tr r="EN35" s="1"/>
      </tp>
      <tp t="s">
        <v>#N/A Requesting Data...4291438661</v>
        <stp/>
        <stp>BDP|7535712638017418402</stp>
        <tr r="EC10" s="9"/>
      </tp>
      <tp t="s">
        <v>#N/A N/A</v>
        <stp/>
        <stp>BDP|2630071558257188065</stp>
        <tr r="ED40" s="1"/>
      </tp>
      <tp t="s">
        <v>#N/A Requesting Data...4293137585</v>
        <stp/>
        <stp>BDP|8806649528319702519</stp>
        <tr r="EC12" s="9"/>
      </tp>
      <tp t="s">
        <v>#N/A N/A</v>
        <stp/>
        <stp>BDP|6461799903493982248</stp>
        <tr r="EC13" s="1"/>
      </tp>
      <tp t="s">
        <v>#N/A N/A</v>
        <stp/>
        <stp>BDP|4237459001568611838</stp>
        <tr r="EB48" s="1"/>
      </tp>
      <tp t="s">
        <v>#N/A N/A</v>
        <stp/>
        <stp>BDP|6303376583549566424</stp>
        <tr r="ED13" s="1"/>
      </tp>
      <tp t="s">
        <v>#N/A N/A</v>
        <stp/>
        <stp>BDP|6286639832946613501</stp>
        <tr r="EN36" s="1"/>
      </tp>
      <tp t="s">
        <v>#N/A N/A</v>
        <stp/>
        <stp>BDP|3124561792656384938</stp>
        <tr r="BZ55" s="1"/>
      </tp>
      <tp t="s">
        <v>#N/A N/A</v>
        <stp/>
        <stp>BDP|8359981966100920711</stp>
        <tr r="EN30" s="1"/>
      </tp>
      <tp t="s">
        <v>#N/A N/A</v>
        <stp/>
        <stp>BQL|4072048221450773775</stp>
        <tr r="H12" s="1"/>
      </tp>
      <tp t="s">
        <v>#N/A N/A</v>
        <stp/>
        <stp>BQL|6695312884548175431</stp>
        <tr r="EZ47" s="1"/>
      </tp>
      <tp t="s">
        <v>#N/A N/A</v>
        <stp/>
        <stp>BDP|1511663031445942002</stp>
        <tr r="EN22" s="1"/>
      </tp>
      <tp t="s">
        <v>#N/A Requesting Data...4292839995</v>
        <stp/>
        <stp>BDP|2112272687609147091</stp>
        <tr r="EC9" s="9"/>
      </tp>
      <tp t="s">
        <v>#N/A Requesting Data...4292155228</v>
        <stp/>
        <stp>BDP|4012903750048831116</stp>
        <tr r="H10" s="9"/>
      </tp>
      <tp t="s">
        <v>#N/A Requesting Data...4293438202</v>
        <stp/>
        <stp>BDP|2052470450462855014</stp>
        <tr r="ED17" s="9"/>
      </tp>
      <tp t="s">
        <v>#N/A N/A</v>
        <stp/>
        <stp>BDP|6863252435282723431</stp>
        <tr r="ED41" s="1"/>
      </tp>
      <tp t="s">
        <v>#N/A N/A</v>
        <stp/>
        <stp>BDP|4605268396169656725</stp>
        <tr r="EN42" s="1"/>
      </tp>
      <tp t="s">
        <v>#N/A N/A</v>
        <stp/>
        <stp>BDP|8140152090632753319</stp>
        <tr r="EB11" s="1"/>
      </tp>
      <tp t="s">
        <v>#N/A Requesting Data...195537394</v>
        <stp/>
        <stp>BDP|4787377714503514412</stp>
        <tr r="EE16" s="9"/>
      </tp>
      <tp t="s">
        <v>#N/A Requesting Data...2760131470</v>
        <stp/>
        <stp>BDP|4322881649438587160</stp>
        <tr r="EC15" s="9"/>
      </tp>
      <tp t="s">
        <v>#N/A N/A</v>
        <stp/>
        <stp>BQL|9935466768531795880</stp>
        <tr r="I31" s="1"/>
      </tp>
      <tp t="s">
        <v>#N/A N/A</v>
        <stp/>
        <stp>BQL|7452552499271849872</stp>
        <tr r="H8" s="1"/>
      </tp>
      <tp t="s">
        <v>#N/A N/A</v>
        <stp/>
        <stp>BDP|9542689598840496427</stp>
        <tr r="ED14" s="1"/>
      </tp>
      <tp t="s">
        <v>#N/A Requesting Data...1354062454</v>
        <stp/>
        <stp>BDP|3100227677336474205</stp>
        <tr r="ED19" s="9"/>
      </tp>
      <tp t="s">
        <v>#N/A N/A</v>
        <stp/>
        <stp>BQL|7296508656092490608</stp>
        <tr r="EZ27" s="1"/>
      </tp>
      <tp t="s">
        <v>#N/A N/A</v>
        <stp/>
        <stp>BDP|5369339455767889778</stp>
        <tr r="EN23" s="1"/>
      </tp>
      <tp t="s">
        <v>#N/A Requesting Data...3993528331</v>
        <stp/>
        <stp>BDP|3250143158665562112</stp>
        <tr r="EE9" s="9"/>
      </tp>
      <tp t="s">
        <v>#N/A N/A</v>
        <stp/>
        <stp>BDP|3826965494328834896</stp>
        <tr r="EB13" s="1"/>
      </tp>
      <tp t="s">
        <v>#N/A N/A</v>
        <stp/>
        <stp>BDP|3681270482108976272</stp>
        <tr r="EB29" s="1"/>
      </tp>
      <tp t="s">
        <v>#N/A Requesting Data...1527610135</v>
        <stp/>
        <stp>BDP|5721439947837669187</stp>
        <tr r="EE12" s="9"/>
      </tp>
      <tp t="s">
        <v>#N/A N/A</v>
        <stp/>
        <stp>BDP|4655573935896660705</stp>
        <tr r="EB23" s="1"/>
      </tp>
      <tp t="s">
        <v>#N/A N/A</v>
        <stp/>
        <stp>BDP|6584783120200947074</stp>
        <tr r="EC41" s="1"/>
      </tp>
      <tp t="s">
        <v>#N/A N/A</v>
        <stp/>
        <stp>BDP|9331628218988221582</stp>
        <tr r="ED51" s="1"/>
      </tp>
      <tp t="s">
        <v>#N/A N/A</v>
        <stp/>
        <stp>BDP|2612297059246674013</stp>
        <tr r="EN43" s="1"/>
      </tp>
      <tp t="s">
        <v>#N/A N/A</v>
        <stp/>
        <stp>BDP|7959095462826727423</stp>
        <tr r="EC35" s="1"/>
      </tp>
      <tp t="s">
        <v>#N/A N/A</v>
        <stp/>
        <stp>BDP|2168070008494289593</stp>
        <tr r="EN10" s="1"/>
      </tp>
      <tp t="s">
        <v>#N/A N/A</v>
        <stp/>
        <stp>BQL|970871923807955899</stp>
        <tr r="H24" s="1"/>
      </tp>
    </main>
    <main first="bofaddin.rtdserver">
      <tp t="s">
        <v>#N/A Requesting Data...1599659590</v>
        <stp/>
        <stp>BDP|557541281669392183</stp>
        <tr r="EC19" s="9"/>
      </tp>
      <tp t="s">
        <v>#N/A N/A</v>
        <stp/>
        <stp>BDP|907186738476454021</stp>
        <tr r="EB19" s="1"/>
      </tp>
      <tp t="s">
        <v>#N/A N/A</v>
        <stp/>
        <stp>BQL|788013353098839992</stp>
        <tr r="EX29" s="1"/>
      </tp>
      <tp t="s">
        <v>#N/A Requesting Data...2130930152</v>
        <stp/>
        <stp>BDP|717356257824942683</stp>
        <tr r="EC11" s="9"/>
      </tp>
      <tp t="s">
        <v>#N/A N/A</v>
        <stp/>
        <stp>BQL|695899860931795847</stp>
        <tr r="H19" s="9"/>
      </tp>
      <tp t="s">
        <v>#N/A N/A</v>
        <stp/>
        <stp>BDP|968154144580921355</stp>
        <tr r="BZ54" s="1"/>
      </tp>
      <tp t="s">
        <v>#N/A N/A</v>
        <stp/>
        <stp>BQL|560630400512706578</stp>
        <tr r="FA47" s="1"/>
      </tp>
      <tp t="s">
        <v>#N/A N/A</v>
        <stp/>
        <stp>BQL|765875915620291805</stp>
        <tr r="EX47" s="1"/>
      </tp>
      <tp t="s">
        <v>#N/A N/A</v>
        <stp/>
        <stp>BDP|927419169501566251</stp>
        <tr r="EC31" s="1"/>
      </tp>
      <tp t="s">
        <v>#N/A N/A</v>
        <stp/>
        <stp>BQL|228726011093765694</stp>
        <tr r="FA27" s="1"/>
      </tp>
      <tp t="s">
        <v>#N/A N/A</v>
        <stp/>
        <stp>BDP|415001776142173685</stp>
        <tr r="EN21" s="1"/>
      </tp>
      <tp t="s">
        <v>#N/A N/A</v>
        <stp/>
        <stp>BQL|352727126171777706</stp>
        <tr r="EX30" s="1"/>
      </tp>
      <tp t="s">
        <v>#N/A N/A</v>
        <stp/>
        <stp>BDP|102970565149747545</stp>
        <tr r="EB22" s="1"/>
      </tp>
      <tp t="s">
        <v>#N/A N/A</v>
        <stp/>
        <stp>BQL|250225606798701807</stp>
        <tr r="EY42" s="1"/>
      </tp>
      <tp t="s">
        <v>#N/A N/A</v>
        <stp/>
        <stp>BQL|836333440430178960</stp>
        <tr r="EY48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volatileDependencies" Target="volatileDependenci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92EEF-93AD-4119-8EB6-98EECA49B19D}">
  <sheetPr>
    <tabColor rgb="FFC00000"/>
  </sheetPr>
  <dimension ref="B1:FV57"/>
  <sheetViews>
    <sheetView showGridLines="0" tabSelected="1" zoomScale="97" zoomScaleNormal="115" zoomScaleSheetLayoutView="85" workbookViewId="0">
      <pane xSplit="4" ySplit="5" topLeftCell="BY6" activePane="bottomRight" state="frozen"/>
      <selection pane="topRight" activeCell="E1" sqref="E1"/>
      <selection pane="bottomLeft" activeCell="A6" sqref="A6"/>
      <selection pane="bottomRight" activeCell="BZ10" sqref="BZ10"/>
    </sheetView>
  </sheetViews>
  <sheetFormatPr defaultRowHeight="15" outlineLevelRow="1" outlineLevelCol="2" x14ac:dyDescent="0.25"/>
  <cols>
    <col min="1" max="1" width="4.7109375" customWidth="1"/>
    <col min="2" max="3" width="17.42578125" customWidth="1"/>
    <col min="4" max="4" width="24.5703125" customWidth="1"/>
    <col min="5" max="5" width="4.7109375" hidden="1" customWidth="1" outlineLevel="2"/>
    <col min="6" max="7" width="10.7109375" hidden="1" customWidth="1" outlineLevel="2"/>
    <col min="8" max="8" width="10.140625" bestFit="1" customWidth="1" collapsed="1"/>
    <col min="9" max="9" width="8.7109375" hidden="1" customWidth="1" outlineLevel="2"/>
    <col min="10" max="10" width="9.7109375" hidden="1" customWidth="1" outlineLevel="2"/>
    <col min="11" max="11" width="9" hidden="1" customWidth="1" outlineLevel="2"/>
    <col min="12" max="13" width="8.7109375" hidden="1" customWidth="1" outlineLevel="2"/>
    <col min="14" max="14" width="11.140625" hidden="1" customWidth="1" outlineLevel="2"/>
    <col min="15" max="20" width="9.5703125" hidden="1" customWidth="1" outlineLevel="2"/>
    <col min="21" max="23" width="11.140625" hidden="1" customWidth="1" outlineLevel="2"/>
    <col min="24" max="32" width="8.7109375" hidden="1" customWidth="1" outlineLevel="2"/>
    <col min="33" max="41" width="9.5703125" hidden="1" customWidth="1" outlineLevel="2"/>
    <col min="42" max="59" width="8.7109375" hidden="1" customWidth="1" outlineLevel="2"/>
    <col min="60" max="60" width="8.7109375" hidden="1" customWidth="1" outlineLevel="2" collapsed="1"/>
    <col min="61" max="66" width="8.7109375" hidden="1" customWidth="1" outlineLevel="2"/>
    <col min="67" max="67" width="8.7109375" hidden="1" customWidth="1" outlineLevel="1" collapsed="1"/>
    <col min="68" max="68" width="8.7109375" hidden="1" customWidth="1" outlineLevel="1"/>
    <col min="69" max="76" width="8.7109375" hidden="1" customWidth="1" outlineLevel="2"/>
    <col min="77" max="77" width="8.7109375" hidden="1" customWidth="1" outlineLevel="1" collapsed="1"/>
    <col min="78" max="81" width="8.7109375" hidden="1" customWidth="1" outlineLevel="1"/>
    <col min="82" max="82" width="8.7109375" hidden="1" customWidth="1" outlineLevel="2" collapsed="1"/>
    <col min="83" max="83" width="8.5703125" hidden="1" customWidth="1" outlineLevel="1" collapsed="1"/>
    <col min="84" max="85" width="8.5703125" hidden="1" customWidth="1" outlineLevel="1"/>
    <col min="86" max="86" width="8.7109375" hidden="1" customWidth="1" outlineLevel="2"/>
    <col min="87" max="87" width="8.7109375" hidden="1" customWidth="1" outlineLevel="2" collapsed="1"/>
    <col min="88" max="91" width="8.7109375" hidden="1" customWidth="1" outlineLevel="2"/>
    <col min="92" max="95" width="10.28515625" hidden="1" customWidth="1" outlineLevel="2"/>
    <col min="96" max="96" width="9.5703125" hidden="1" customWidth="1" outlineLevel="2"/>
    <col min="97" max="123" width="8.7109375" hidden="1" customWidth="1" outlineLevel="2"/>
    <col min="124" max="124" width="8.7109375" hidden="1" customWidth="1" outlineLevel="2" collapsed="1"/>
    <col min="125" max="125" width="8.7109375" hidden="1" customWidth="1" outlineLevel="1" collapsed="1"/>
    <col min="126" max="131" width="8.7109375" hidden="1" customWidth="1" outlineLevel="1"/>
    <col min="132" max="134" width="10.140625" hidden="1" customWidth="1" outlineLevel="1"/>
    <col min="135" max="135" width="9.7109375" customWidth="1" collapsed="1"/>
    <col min="136" max="141" width="9.7109375" customWidth="1"/>
    <col min="142" max="143" width="10.140625" customWidth="1"/>
    <col min="144" max="144" width="15.28515625" bestFit="1" customWidth="1"/>
    <col min="147" max="147" width="10.28515625" bestFit="1" customWidth="1"/>
    <col min="154" max="161" width="10.7109375" customWidth="1"/>
    <col min="162" max="177" width="9.140625" customWidth="1" outlineLevel="1"/>
    <col min="178" max="178" width="10.7109375" customWidth="1"/>
  </cols>
  <sheetData>
    <row r="1" spans="2:178" x14ac:dyDescent="0.25">
      <c r="D1" t="s">
        <v>27</v>
      </c>
      <c r="CM1" s="1">
        <f ca="1">TODAY()</f>
        <v>46183</v>
      </c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>
        <v>46387</v>
      </c>
      <c r="DU1" s="1">
        <f>DT1+365</f>
        <v>46752</v>
      </c>
      <c r="DV1" s="1">
        <f>DU1+365</f>
        <v>47117</v>
      </c>
      <c r="DW1" s="1">
        <f>DV1+365</f>
        <v>47482</v>
      </c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</row>
    <row r="2" spans="2:178" x14ac:dyDescent="0.25">
      <c r="B2" s="324" t="str">
        <f>IFERROR($D$4:$ED$55,"--&gt; select table 1")</f>
        <v>--&gt; select table 1</v>
      </c>
      <c r="D2" s="323">
        <f ca="1">TODAY()</f>
        <v>46183</v>
      </c>
      <c r="DT2" s="28">
        <f ca="1">(DT1-$D$2)/365</f>
        <v>0.55890410958904113</v>
      </c>
      <c r="DU2" s="28">
        <f ca="1">(DU1-$D$2)/365</f>
        <v>1.558904109589041</v>
      </c>
      <c r="DV2" s="28">
        <f ca="1">(DV1-$D$2)/365</f>
        <v>2.558904109589041</v>
      </c>
      <c r="DW2" s="28">
        <f ca="1">(DW1-$D$2)/365</f>
        <v>3.558904109589041</v>
      </c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FF2" s="306" t="s">
        <v>231</v>
      </c>
      <c r="FG2" s="306"/>
      <c r="FH2" s="306"/>
      <c r="FI2" s="306"/>
      <c r="FJ2" s="306"/>
      <c r="FK2" s="306"/>
      <c r="FL2" s="306"/>
      <c r="FM2" s="306"/>
      <c r="FN2" s="306"/>
      <c r="FO2" s="306"/>
      <c r="FP2" s="306"/>
      <c r="FQ2" s="306"/>
      <c r="FR2" s="306"/>
      <c r="FS2" s="306"/>
      <c r="FT2" s="306"/>
      <c r="FU2" s="306"/>
    </row>
    <row r="3" spans="2:178" ht="15.75" thickBot="1" x14ac:dyDescent="0.3">
      <c r="B3" s="324" t="str">
        <f>IFERROR($D$4:$EM$44,"--&gt; select table 2")</f>
        <v>--&gt; select table 2</v>
      </c>
      <c r="DD3" s="197"/>
      <c r="DE3" s="197"/>
      <c r="DF3" s="197"/>
      <c r="DG3" s="197"/>
      <c r="DT3" s="141"/>
      <c r="DU3" s="141"/>
      <c r="DV3" s="141"/>
      <c r="DW3" s="141"/>
      <c r="EB3" s="141"/>
      <c r="EC3" s="141"/>
      <c r="ED3" s="141"/>
      <c r="EE3" s="141"/>
      <c r="EF3" s="141"/>
      <c r="EG3" s="141"/>
      <c r="EH3" s="141"/>
      <c r="EI3" s="141"/>
      <c r="EJ3" s="141"/>
      <c r="EK3" s="141"/>
      <c r="EL3" s="141"/>
      <c r="EM3" s="141"/>
    </row>
    <row r="4" spans="2:178" ht="18" thickBot="1" x14ac:dyDescent="0.45">
      <c r="D4" s="248">
        <f ca="1">$D$2</f>
        <v>46183</v>
      </c>
      <c r="E4" s="288"/>
      <c r="F4" s="29"/>
      <c r="G4" s="29"/>
      <c r="H4" s="29"/>
      <c r="I4" s="29"/>
      <c r="J4" s="29"/>
      <c r="K4" s="29"/>
      <c r="L4" s="29"/>
      <c r="M4" s="29"/>
      <c r="N4" s="29"/>
      <c r="O4" s="30" t="s">
        <v>0</v>
      </c>
      <c r="P4" s="30"/>
      <c r="Q4" s="30"/>
      <c r="R4" s="30"/>
      <c r="S4" s="30"/>
      <c r="T4" s="30"/>
      <c r="U4" s="30"/>
      <c r="V4" s="30"/>
      <c r="W4" s="177"/>
      <c r="X4" s="30" t="s">
        <v>1</v>
      </c>
      <c r="Y4" s="30"/>
      <c r="Z4" s="30"/>
      <c r="AA4" s="30"/>
      <c r="AB4" s="30"/>
      <c r="AC4" s="30"/>
      <c r="AD4" s="30"/>
      <c r="AE4" s="30"/>
      <c r="AF4" s="177"/>
      <c r="AG4" s="30" t="s">
        <v>2</v>
      </c>
      <c r="AH4" s="30"/>
      <c r="AI4" s="30"/>
      <c r="AJ4" s="30"/>
      <c r="AK4" s="30"/>
      <c r="AL4" s="30"/>
      <c r="AM4" s="30"/>
      <c r="AN4" s="30"/>
      <c r="AO4" s="177"/>
      <c r="AP4" s="30" t="s">
        <v>31</v>
      </c>
      <c r="AQ4" s="30"/>
      <c r="AR4" s="30"/>
      <c r="AS4" s="30"/>
      <c r="AT4" s="30"/>
      <c r="AU4" s="30"/>
      <c r="AV4" s="30"/>
      <c r="AW4" s="30"/>
      <c r="AX4" s="179"/>
      <c r="AY4" s="30" t="s">
        <v>55</v>
      </c>
      <c r="AZ4" s="30"/>
      <c r="BA4" s="30"/>
      <c r="BB4" s="30"/>
      <c r="BC4" s="30"/>
      <c r="BD4" s="30"/>
      <c r="BE4" s="30"/>
      <c r="BF4" s="30"/>
      <c r="BG4" s="31"/>
      <c r="BH4" s="32" t="s">
        <v>3</v>
      </c>
      <c r="BI4" s="31"/>
      <c r="BJ4" s="31"/>
      <c r="BK4" s="31"/>
      <c r="BL4" s="30"/>
      <c r="BM4" s="30"/>
      <c r="BN4" s="31"/>
      <c r="BO4" s="32" t="s">
        <v>4</v>
      </c>
      <c r="BP4" s="31"/>
      <c r="BQ4" s="31"/>
      <c r="BR4" s="31"/>
      <c r="BS4" s="31"/>
      <c r="BT4" s="32" t="s">
        <v>5</v>
      </c>
      <c r="BU4" s="31"/>
      <c r="BV4" s="31"/>
      <c r="BW4" s="31"/>
      <c r="BX4" s="31"/>
      <c r="BY4" s="33" t="s">
        <v>45</v>
      </c>
      <c r="BZ4" s="31"/>
      <c r="CA4" s="31"/>
      <c r="CB4" s="31"/>
      <c r="CC4" s="31"/>
      <c r="CD4" s="35" t="s">
        <v>98</v>
      </c>
      <c r="CE4" s="36" t="s">
        <v>136</v>
      </c>
      <c r="CF4" s="36"/>
      <c r="CG4" s="35"/>
      <c r="CH4" s="35"/>
      <c r="CI4" s="44" t="s">
        <v>65</v>
      </c>
      <c r="CJ4" s="45"/>
      <c r="CK4" s="45"/>
      <c r="CL4" s="45"/>
      <c r="CM4" s="45"/>
      <c r="CN4" s="34" t="s">
        <v>66</v>
      </c>
      <c r="CO4" s="35"/>
      <c r="CP4" s="35"/>
      <c r="CQ4" s="35"/>
      <c r="CR4" s="35"/>
      <c r="CS4" s="34" t="s">
        <v>57</v>
      </c>
      <c r="CT4" s="35"/>
      <c r="CU4" s="35"/>
      <c r="CV4" s="35"/>
      <c r="CW4" s="35"/>
      <c r="CX4" s="34" t="s">
        <v>12</v>
      </c>
      <c r="CY4" s="35"/>
      <c r="CZ4" s="35"/>
      <c r="DA4" s="35"/>
      <c r="DB4" s="35"/>
      <c r="DC4" s="34" t="s">
        <v>60</v>
      </c>
      <c r="DD4" s="35"/>
      <c r="DE4" s="35"/>
      <c r="DF4" s="35"/>
      <c r="DG4" s="35"/>
      <c r="DH4" s="34" t="s">
        <v>11</v>
      </c>
      <c r="DI4" s="35"/>
      <c r="DJ4" s="35"/>
      <c r="DK4" s="35"/>
      <c r="DL4" s="35"/>
      <c r="DM4" s="35"/>
      <c r="DN4" s="35"/>
      <c r="DO4" s="34" t="s">
        <v>56</v>
      </c>
      <c r="DP4" s="35"/>
      <c r="DQ4" s="35"/>
      <c r="DR4" s="35"/>
      <c r="DS4" s="35"/>
      <c r="DT4" s="36" t="s">
        <v>29</v>
      </c>
      <c r="DU4" s="36" t="s">
        <v>29</v>
      </c>
      <c r="DV4" s="34"/>
      <c r="DW4" s="35"/>
      <c r="DX4" s="36" t="s">
        <v>131</v>
      </c>
      <c r="DY4" s="35"/>
      <c r="DZ4" s="35"/>
      <c r="EA4" s="35"/>
      <c r="EB4" s="36" t="s">
        <v>244</v>
      </c>
      <c r="EC4" s="35"/>
      <c r="ED4" s="191"/>
      <c r="EE4" s="34" t="s">
        <v>142</v>
      </c>
      <c r="EF4" s="35"/>
      <c r="EG4" s="35"/>
      <c r="EH4" s="35"/>
      <c r="EI4" s="35"/>
      <c r="EJ4" s="35"/>
      <c r="EK4" s="191"/>
      <c r="EL4" s="190" t="s">
        <v>99</v>
      </c>
      <c r="EM4" s="216"/>
      <c r="EN4" s="139" t="s">
        <v>35</v>
      </c>
      <c r="EX4" s="304" t="s">
        <v>229</v>
      </c>
      <c r="EY4" s="304"/>
      <c r="EZ4" s="304"/>
      <c r="FA4" s="304"/>
      <c r="FB4" s="304" t="s">
        <v>230</v>
      </c>
      <c r="FC4" s="304"/>
      <c r="FD4" s="304"/>
      <c r="FE4" s="304"/>
      <c r="FF4" s="293" t="s">
        <v>213</v>
      </c>
      <c r="FG4" s="293"/>
      <c r="FH4" s="293"/>
      <c r="FI4" s="293" t="s">
        <v>223</v>
      </c>
      <c r="FJ4" s="293"/>
      <c r="FK4" s="293"/>
      <c r="FL4" s="293" t="s">
        <v>212</v>
      </c>
      <c r="FM4" s="293"/>
      <c r="FN4" s="293" t="s">
        <v>225</v>
      </c>
      <c r="FO4" s="293"/>
      <c r="FP4" s="293"/>
      <c r="FQ4" s="293"/>
      <c r="FR4" s="293"/>
      <c r="FS4" s="293"/>
      <c r="FT4" s="293" t="s">
        <v>218</v>
      </c>
      <c r="FU4" s="293"/>
    </row>
    <row r="5" spans="2:178" ht="18" thickBot="1" x14ac:dyDescent="0.45">
      <c r="D5" s="37" t="s">
        <v>6</v>
      </c>
      <c r="E5" s="402" t="s">
        <v>211</v>
      </c>
      <c r="F5" s="403" t="s">
        <v>30</v>
      </c>
      <c r="G5" s="403" t="s">
        <v>32</v>
      </c>
      <c r="H5" s="403" t="s">
        <v>7</v>
      </c>
      <c r="I5" s="403" t="s">
        <v>8</v>
      </c>
      <c r="J5" s="403" t="s">
        <v>9</v>
      </c>
      <c r="K5" s="403" t="s">
        <v>10</v>
      </c>
      <c r="L5" s="403" t="s">
        <v>36</v>
      </c>
      <c r="M5" s="403" t="s">
        <v>11</v>
      </c>
      <c r="N5" s="403" t="s">
        <v>12</v>
      </c>
      <c r="O5" s="402">
        <v>2022</v>
      </c>
      <c r="P5" s="402">
        <f>O5+1</f>
        <v>2023</v>
      </c>
      <c r="Q5" s="402">
        <f>P5+1</f>
        <v>2024</v>
      </c>
      <c r="R5" s="402">
        <f>Q5+1</f>
        <v>2025</v>
      </c>
      <c r="S5" s="402">
        <f>R5+1</f>
        <v>2026</v>
      </c>
      <c r="T5" s="402">
        <v>2027</v>
      </c>
      <c r="U5" s="402">
        <v>2028</v>
      </c>
      <c r="V5" s="402">
        <v>2029</v>
      </c>
      <c r="W5" s="178">
        <v>2030</v>
      </c>
      <c r="X5" s="402">
        <v>2022</v>
      </c>
      <c r="Y5" s="402">
        <f>X5+1</f>
        <v>2023</v>
      </c>
      <c r="Z5" s="402">
        <f>Y5+1</f>
        <v>2024</v>
      </c>
      <c r="AA5" s="402">
        <f>Z5+1</f>
        <v>2025</v>
      </c>
      <c r="AB5" s="402">
        <f>AA5+1</f>
        <v>2026</v>
      </c>
      <c r="AC5" s="402">
        <v>2027</v>
      </c>
      <c r="AD5" s="402">
        <v>2028</v>
      </c>
      <c r="AE5" s="402">
        <v>2029</v>
      </c>
      <c r="AF5" s="178">
        <v>2030</v>
      </c>
      <c r="AG5" s="402">
        <v>2022</v>
      </c>
      <c r="AH5" s="402">
        <f>AG5+1</f>
        <v>2023</v>
      </c>
      <c r="AI5" s="402">
        <f>AH5+1</f>
        <v>2024</v>
      </c>
      <c r="AJ5" s="402">
        <f>AI5+1</f>
        <v>2025</v>
      </c>
      <c r="AK5" s="402">
        <f>AJ5+1</f>
        <v>2026</v>
      </c>
      <c r="AL5" s="402">
        <v>2027</v>
      </c>
      <c r="AM5" s="402">
        <v>2028</v>
      </c>
      <c r="AN5" s="402">
        <v>2029</v>
      </c>
      <c r="AO5" s="178">
        <v>2030</v>
      </c>
      <c r="AP5" s="402">
        <v>2022</v>
      </c>
      <c r="AQ5" s="402">
        <f>AP5+1</f>
        <v>2023</v>
      </c>
      <c r="AR5" s="402">
        <f>AQ5+1</f>
        <v>2024</v>
      </c>
      <c r="AS5" s="402">
        <f>AR5+1</f>
        <v>2025</v>
      </c>
      <c r="AT5" s="402">
        <f>AS5+1</f>
        <v>2026</v>
      </c>
      <c r="AU5" s="402">
        <v>2027</v>
      </c>
      <c r="AV5" s="402">
        <v>2028</v>
      </c>
      <c r="AW5" s="402">
        <v>2029</v>
      </c>
      <c r="AX5" s="178">
        <v>2030</v>
      </c>
      <c r="AY5" s="402">
        <v>2022</v>
      </c>
      <c r="AZ5" s="402">
        <f>AY5+1</f>
        <v>2023</v>
      </c>
      <c r="BA5" s="402">
        <f>AZ5+1</f>
        <v>2024</v>
      </c>
      <c r="BB5" s="402">
        <f>BA5+1</f>
        <v>2025</v>
      </c>
      <c r="BC5" s="402">
        <f>BB5+1</f>
        <v>2026</v>
      </c>
      <c r="BD5" s="402">
        <v>2027</v>
      </c>
      <c r="BE5" s="402">
        <v>2028</v>
      </c>
      <c r="BF5" s="402">
        <v>2029</v>
      </c>
      <c r="BG5" s="402">
        <v>2030</v>
      </c>
      <c r="BH5" s="404" t="s">
        <v>13</v>
      </c>
      <c r="BI5" s="404" t="s">
        <v>14</v>
      </c>
      <c r="BJ5" s="404" t="s">
        <v>15</v>
      </c>
      <c r="BK5" s="404" t="s">
        <v>16</v>
      </c>
      <c r="BL5" s="404" t="s">
        <v>28</v>
      </c>
      <c r="BM5" s="405">
        <f>BL5+1</f>
        <v>2029</v>
      </c>
      <c r="BN5" s="405">
        <f>BM5+1</f>
        <v>2030</v>
      </c>
      <c r="BO5" s="406" t="s">
        <v>15</v>
      </c>
      <c r="BP5" s="406" t="s">
        <v>16</v>
      </c>
      <c r="BQ5" s="406" t="s">
        <v>28</v>
      </c>
      <c r="BR5" s="406" t="s">
        <v>47</v>
      </c>
      <c r="BS5" s="406" t="s">
        <v>48</v>
      </c>
      <c r="BT5" s="406" t="s">
        <v>15</v>
      </c>
      <c r="BU5" s="406" t="s">
        <v>16</v>
      </c>
      <c r="BV5" s="406" t="s">
        <v>28</v>
      </c>
      <c r="BW5" s="406" t="s">
        <v>47</v>
      </c>
      <c r="BX5" s="406" t="s">
        <v>48</v>
      </c>
      <c r="BY5" s="17" t="s">
        <v>15</v>
      </c>
      <c r="BZ5" s="406" t="s">
        <v>16</v>
      </c>
      <c r="CA5" s="406" t="s">
        <v>28</v>
      </c>
      <c r="CB5" s="406" t="s">
        <v>47</v>
      </c>
      <c r="CC5" s="406" t="s">
        <v>48</v>
      </c>
      <c r="CD5" s="407" t="s">
        <v>15</v>
      </c>
      <c r="CE5" s="17" t="s">
        <v>16</v>
      </c>
      <c r="CF5" s="406" t="s">
        <v>28</v>
      </c>
      <c r="CG5" s="406" t="s">
        <v>47</v>
      </c>
      <c r="CH5" s="406" t="s">
        <v>48</v>
      </c>
      <c r="CI5" s="408" t="s">
        <v>15</v>
      </c>
      <c r="CJ5" s="408" t="s">
        <v>16</v>
      </c>
      <c r="CK5" s="408" t="s">
        <v>28</v>
      </c>
      <c r="CL5" s="408" t="s">
        <v>47</v>
      </c>
      <c r="CM5" s="408" t="s">
        <v>48</v>
      </c>
      <c r="CN5" s="406" t="s">
        <v>15</v>
      </c>
      <c r="CO5" s="406" t="s">
        <v>16</v>
      </c>
      <c r="CP5" s="406" t="s">
        <v>28</v>
      </c>
      <c r="CQ5" s="406" t="s">
        <v>47</v>
      </c>
      <c r="CR5" s="406" t="s">
        <v>48</v>
      </c>
      <c r="CS5" s="406" t="s">
        <v>15</v>
      </c>
      <c r="CT5" s="406" t="s">
        <v>16</v>
      </c>
      <c r="CU5" s="406" t="s">
        <v>28</v>
      </c>
      <c r="CV5" s="406" t="s">
        <v>47</v>
      </c>
      <c r="CW5" s="406" t="s">
        <v>48</v>
      </c>
      <c r="CX5" s="406" t="s">
        <v>15</v>
      </c>
      <c r="CY5" s="406" t="s">
        <v>16</v>
      </c>
      <c r="CZ5" s="406" t="s">
        <v>28</v>
      </c>
      <c r="DA5" s="406" t="s">
        <v>47</v>
      </c>
      <c r="DB5" s="406" t="s">
        <v>48</v>
      </c>
      <c r="DC5" s="406" t="s">
        <v>15</v>
      </c>
      <c r="DD5" s="406" t="s">
        <v>16</v>
      </c>
      <c r="DE5" s="406" t="s">
        <v>28</v>
      </c>
      <c r="DF5" s="406" t="s">
        <v>47</v>
      </c>
      <c r="DG5" s="406" t="s">
        <v>48</v>
      </c>
      <c r="DH5" s="406" t="s">
        <v>15</v>
      </c>
      <c r="DI5" s="406" t="s">
        <v>16</v>
      </c>
      <c r="DJ5" s="406" t="s">
        <v>28</v>
      </c>
      <c r="DK5" s="406" t="s">
        <v>47</v>
      </c>
      <c r="DL5" s="406" t="s">
        <v>48</v>
      </c>
      <c r="DM5" s="406"/>
      <c r="DN5" s="406"/>
      <c r="DO5" s="406" t="s">
        <v>15</v>
      </c>
      <c r="DP5" s="406" t="s">
        <v>16</v>
      </c>
      <c r="DQ5" s="406" t="s">
        <v>28</v>
      </c>
      <c r="DR5" s="406" t="s">
        <v>47</v>
      </c>
      <c r="DS5" s="406" t="s">
        <v>48</v>
      </c>
      <c r="DT5" s="17" t="s">
        <v>15</v>
      </c>
      <c r="DU5" s="17" t="s">
        <v>16</v>
      </c>
      <c r="DV5" s="406" t="s">
        <v>28</v>
      </c>
      <c r="DW5" s="406" t="s">
        <v>47</v>
      </c>
      <c r="DX5" s="17" t="s">
        <v>15</v>
      </c>
      <c r="DY5" s="406" t="s">
        <v>16</v>
      </c>
      <c r="DZ5" s="406" t="s">
        <v>28</v>
      </c>
      <c r="EA5" s="406" t="s">
        <v>47</v>
      </c>
      <c r="EB5" s="17" t="s">
        <v>71</v>
      </c>
      <c r="EC5" s="406" t="s">
        <v>72</v>
      </c>
      <c r="ED5" s="193" t="s">
        <v>73</v>
      </c>
      <c r="EE5" s="409" t="s">
        <v>0</v>
      </c>
      <c r="EF5" s="410" t="s">
        <v>242</v>
      </c>
      <c r="EG5" s="409" t="s">
        <v>143</v>
      </c>
      <c r="EH5" s="409" t="s">
        <v>144</v>
      </c>
      <c r="EI5" s="410" t="s">
        <v>243</v>
      </c>
      <c r="EJ5" s="409" t="s">
        <v>246</v>
      </c>
      <c r="EK5" s="192" t="s">
        <v>147</v>
      </c>
      <c r="EL5" s="406" t="s">
        <v>64</v>
      </c>
      <c r="EM5" s="193" t="s">
        <v>100</v>
      </c>
      <c r="EN5" s="160" t="s">
        <v>34</v>
      </c>
      <c r="EQ5" t="s">
        <v>239</v>
      </c>
      <c r="ER5" t="s">
        <v>238</v>
      </c>
      <c r="ES5" t="s">
        <v>240</v>
      </c>
      <c r="EU5" t="s">
        <v>241</v>
      </c>
      <c r="EX5" s="16">
        <v>2026</v>
      </c>
      <c r="EY5" s="16">
        <f>EX5+1</f>
        <v>2027</v>
      </c>
      <c r="EZ5" s="16">
        <f>EY5+1</f>
        <v>2028</v>
      </c>
      <c r="FA5" s="16">
        <f>EZ5+1</f>
        <v>2029</v>
      </c>
      <c r="FB5" s="16">
        <v>2026</v>
      </c>
      <c r="FC5" s="16">
        <f>FB5+1</f>
        <v>2027</v>
      </c>
      <c r="FD5" s="16">
        <f>FC5+1</f>
        <v>2028</v>
      </c>
      <c r="FE5" s="16">
        <f>FD5+1</f>
        <v>2029</v>
      </c>
      <c r="FF5" s="222" t="s">
        <v>221</v>
      </c>
      <c r="FG5" s="222" t="s">
        <v>222</v>
      </c>
      <c r="FH5" s="222" t="s">
        <v>224</v>
      </c>
      <c r="FI5" s="222" t="s">
        <v>221</v>
      </c>
      <c r="FJ5" s="222" t="s">
        <v>222</v>
      </c>
      <c r="FK5" s="222" t="s">
        <v>224</v>
      </c>
      <c r="FL5" s="222" t="s">
        <v>213</v>
      </c>
      <c r="FM5" s="222" t="s">
        <v>214</v>
      </c>
      <c r="FN5" s="222" t="s">
        <v>215</v>
      </c>
      <c r="FO5" s="222" t="s">
        <v>216</v>
      </c>
      <c r="FP5" s="301" t="s">
        <v>217</v>
      </c>
      <c r="FQ5" s="302" t="s">
        <v>226</v>
      </c>
      <c r="FR5" s="303" t="s">
        <v>227</v>
      </c>
      <c r="FS5" s="222" t="s">
        <v>224</v>
      </c>
      <c r="FT5" s="222" t="s">
        <v>219</v>
      </c>
      <c r="FU5" s="222" t="s">
        <v>220</v>
      </c>
      <c r="FV5" s="16" t="s">
        <v>33</v>
      </c>
    </row>
    <row r="6" spans="2:178" ht="18" x14ac:dyDescent="0.4">
      <c r="D6" s="161" t="s">
        <v>149</v>
      </c>
      <c r="E6" s="289"/>
      <c r="F6" s="403"/>
      <c r="G6" s="403"/>
      <c r="H6" s="411"/>
      <c r="I6" s="39"/>
      <c r="J6" s="25"/>
      <c r="K6" s="2"/>
      <c r="L6" s="392"/>
      <c r="M6" s="76"/>
      <c r="N6" s="76"/>
      <c r="O6" s="396"/>
      <c r="P6" s="396"/>
      <c r="Q6" s="396"/>
      <c r="R6" s="396"/>
      <c r="S6" s="396"/>
      <c r="T6" s="396"/>
      <c r="U6" s="396"/>
      <c r="V6" s="396"/>
      <c r="W6" s="396"/>
      <c r="X6" s="4"/>
      <c r="Y6" s="4"/>
      <c r="Z6" s="4"/>
      <c r="AA6" s="4"/>
      <c r="AB6" s="4"/>
      <c r="AC6" s="4"/>
      <c r="AD6" s="4"/>
      <c r="AE6" s="4"/>
      <c r="AF6" s="4"/>
      <c r="AG6" s="396"/>
      <c r="AH6" s="396"/>
      <c r="AI6" s="396"/>
      <c r="AJ6" s="396"/>
      <c r="AK6" s="396"/>
      <c r="AL6" s="396"/>
      <c r="AM6" s="396"/>
      <c r="AN6" s="396"/>
      <c r="AO6" s="396"/>
      <c r="AP6" s="399"/>
      <c r="AQ6" s="399"/>
      <c r="AR6" s="399"/>
      <c r="AS6" s="399"/>
      <c r="AT6" s="399"/>
      <c r="AU6" s="399"/>
      <c r="AV6" s="399"/>
      <c r="AW6" s="399"/>
      <c r="AX6" s="399"/>
      <c r="AY6" s="399"/>
      <c r="AZ6" s="399"/>
      <c r="BA6" s="399"/>
      <c r="BB6" s="412"/>
      <c r="BC6" s="412"/>
      <c r="BD6" s="412"/>
      <c r="BE6" s="412"/>
      <c r="BF6" s="412"/>
      <c r="BG6" s="412"/>
      <c r="BH6" s="400"/>
      <c r="BI6" s="400"/>
      <c r="BJ6" s="400"/>
      <c r="BK6" s="400"/>
      <c r="BL6" s="400"/>
      <c r="BM6" s="400"/>
      <c r="BN6" s="400"/>
      <c r="BO6" s="400"/>
      <c r="BP6" s="400"/>
      <c r="BQ6" s="400"/>
      <c r="BR6" s="400"/>
      <c r="BS6" s="400"/>
      <c r="BT6" s="400"/>
      <c r="BU6" s="400"/>
      <c r="BV6" s="400"/>
      <c r="BW6" s="400"/>
      <c r="BX6" s="400"/>
      <c r="BY6" s="8"/>
      <c r="BZ6" s="400"/>
      <c r="CA6" s="400"/>
      <c r="CB6" s="400"/>
      <c r="CC6" s="400"/>
      <c r="CD6" s="12"/>
      <c r="CE6" s="168"/>
      <c r="CF6" s="82"/>
      <c r="CG6" s="82"/>
      <c r="CH6" s="82"/>
      <c r="CI6" s="46"/>
      <c r="CJ6" s="46"/>
      <c r="CK6" s="46"/>
      <c r="CL6" s="46"/>
      <c r="CM6" s="46"/>
      <c r="CN6" s="43"/>
      <c r="CO6" s="43"/>
      <c r="CP6" s="43"/>
      <c r="CQ6" s="43"/>
      <c r="CR6" s="7"/>
      <c r="CS6" s="7"/>
      <c r="CT6" s="7"/>
      <c r="CU6" s="7"/>
      <c r="CV6" s="7"/>
      <c r="CW6" s="7"/>
      <c r="CX6" s="41"/>
      <c r="CY6" s="41"/>
      <c r="CZ6" s="41"/>
      <c r="DA6" s="41"/>
      <c r="DB6" s="101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7"/>
      <c r="DN6" s="7"/>
      <c r="DO6" s="85"/>
      <c r="DP6" s="85"/>
      <c r="DQ6" s="85"/>
      <c r="DR6" s="85"/>
      <c r="DS6" s="85"/>
      <c r="DT6" s="78"/>
      <c r="DU6" s="78"/>
      <c r="DV6" s="6"/>
      <c r="DW6" s="6"/>
      <c r="DX6" s="171"/>
      <c r="DY6" s="132"/>
      <c r="DZ6" s="132"/>
      <c r="EA6" s="132"/>
      <c r="EB6" s="78"/>
      <c r="EC6" s="6"/>
      <c r="ED6" s="194"/>
      <c r="EE6" s="6"/>
      <c r="EF6" s="175"/>
      <c r="EG6" s="6"/>
      <c r="EH6" s="6"/>
      <c r="EI6" s="6"/>
      <c r="EJ6" s="6"/>
      <c r="EK6" s="194"/>
      <c r="EL6" s="6"/>
      <c r="EM6" s="194"/>
      <c r="EN6" s="163"/>
      <c r="EX6" s="292"/>
      <c r="EY6" s="292"/>
      <c r="EZ6" s="292"/>
      <c r="FA6" s="292"/>
      <c r="FB6" s="292"/>
      <c r="FC6" s="292"/>
      <c r="FD6" s="292"/>
      <c r="FE6" s="292"/>
      <c r="FF6" s="296"/>
      <c r="FG6" s="296"/>
      <c r="FH6" s="295"/>
      <c r="FI6" s="298"/>
      <c r="FJ6" s="298"/>
      <c r="FK6" s="295"/>
      <c r="FL6" s="15"/>
      <c r="FM6" s="15"/>
      <c r="FN6" s="15"/>
      <c r="FO6" s="15"/>
      <c r="FP6" s="300"/>
      <c r="FQ6" s="15"/>
      <c r="FR6" s="300"/>
      <c r="FS6" s="15"/>
      <c r="FT6" s="294"/>
      <c r="FU6" s="294"/>
      <c r="FV6" s="16"/>
    </row>
    <row r="7" spans="2:178" x14ac:dyDescent="0.25">
      <c r="B7" s="10" t="s">
        <v>17</v>
      </c>
      <c r="C7" s="321"/>
      <c r="D7" s="142" t="s">
        <v>18</v>
      </c>
      <c r="E7" s="290">
        <v>1</v>
      </c>
      <c r="F7" s="413">
        <v>45991</v>
      </c>
      <c r="G7" s="392"/>
      <c r="H7" s="411" t="str" cm="1">
        <f t="array" aca="1" ref="H7" ca="1">_xll.BQL($B7, "px_last", "dates=" &amp; _xll.BQL.DATE($D$2))</f>
        <v>#N/A Connection</v>
      </c>
      <c r="I7" s="39" cm="1">
        <f t="array" ref="I7">_xll.BQL(""&amp;B7&amp;"", "CB_IS_ADJ_DILUTED_AVG_SHS/1M", "FPT=Q", "FPO=0Q", "ACT_EST_MAPPING=PRECISE", "FS=MRC", "CURRENCY=USD", "XLFILL=b")</f>
        <v>254.31299999999999</v>
      </c>
      <c r="J7" s="25">
        <v>-8017</v>
      </c>
      <c r="K7" s="2">
        <v>2984</v>
      </c>
      <c r="L7" s="392"/>
      <c r="M7" s="76">
        <f t="shared" ref="M7:M15" si="0">K7+J7</f>
        <v>-5033</v>
      </c>
      <c r="N7" s="76" t="e">
        <f t="shared" ref="N7:N15" ca="1" si="1">I7*H7+M7+L7</f>
        <v>#VALUE!</v>
      </c>
      <c r="O7" s="396">
        <v>6215.8180000000002</v>
      </c>
      <c r="P7" s="396">
        <v>7258.7529999999997</v>
      </c>
      <c r="Q7" s="396">
        <v>8446</v>
      </c>
      <c r="R7" s="396">
        <v>9552</v>
      </c>
      <c r="S7" s="396">
        <v>10723.337173472532</v>
      </c>
      <c r="T7" s="396">
        <v>11959.266078079638</v>
      </c>
      <c r="U7" s="396">
        <v>13226.359620127845</v>
      </c>
      <c r="V7" s="396">
        <v>14542.970161682069</v>
      </c>
      <c r="W7" s="396">
        <v>15876.670783480509</v>
      </c>
      <c r="X7" s="4">
        <f t="shared" ref="X7:AF9" si="2">AG7/O7</f>
        <v>0.76955631583807638</v>
      </c>
      <c r="Y7" s="4">
        <f t="shared" si="2"/>
        <v>0.79683535174705644</v>
      </c>
      <c r="Z7" s="4">
        <f t="shared" si="2"/>
        <v>0.78886877811982004</v>
      </c>
      <c r="AA7" s="4">
        <f t="shared" si="2"/>
        <v>0.79169571293969843</v>
      </c>
      <c r="AB7" s="4">
        <f t="shared" si="2"/>
        <v>0.80060816675534041</v>
      </c>
      <c r="AC7" s="4">
        <f t="shared" si="2"/>
        <v>0.80656338337168187</v>
      </c>
      <c r="AD7" s="4">
        <f t="shared" si="2"/>
        <v>0.81225976229958108</v>
      </c>
      <c r="AE7" s="4">
        <f t="shared" si="2"/>
        <v>0.81644820955247521</v>
      </c>
      <c r="AF7" s="4">
        <f t="shared" si="2"/>
        <v>0.82046165680536953</v>
      </c>
      <c r="AG7" s="396">
        <v>4783.4220000000005</v>
      </c>
      <c r="AH7" s="396">
        <v>5784.0310000000009</v>
      </c>
      <c r="AI7" s="396">
        <v>6662.7857000000004</v>
      </c>
      <c r="AJ7" s="396">
        <v>7562.2774499999996</v>
      </c>
      <c r="AK7" s="396">
        <v>8585.1913159532378</v>
      </c>
      <c r="AL7" s="396">
        <v>9645.9061105780966</v>
      </c>
      <c r="AM7" s="396">
        <v>10743.239721133821</v>
      </c>
      <c r="AN7" s="396">
        <v>11873.581950080397</v>
      </c>
      <c r="AO7" s="396">
        <v>13026.199615567823</v>
      </c>
      <c r="AP7" s="399"/>
      <c r="AQ7" s="399">
        <v>5.6577043245670042</v>
      </c>
      <c r="AR7" s="399">
        <v>7.1343200424112165</v>
      </c>
      <c r="AS7" s="399">
        <v>9.0770109223297197</v>
      </c>
      <c r="AT7" s="399">
        <v>10.410325434006873</v>
      </c>
      <c r="AU7" s="399">
        <v>13.111933868471581</v>
      </c>
      <c r="AV7" s="399">
        <v>15.687176424171058</v>
      </c>
      <c r="AW7" s="399">
        <v>18.590368689046578</v>
      </c>
      <c r="AX7" s="399">
        <v>21.987372774054766</v>
      </c>
      <c r="AY7" s="399"/>
      <c r="AZ7" s="399">
        <v>1.3596545124511383</v>
      </c>
      <c r="BA7" s="399">
        <v>2.6061783689527882</v>
      </c>
      <c r="BB7" s="412">
        <v>4.2675467582387334</v>
      </c>
      <c r="BC7" s="412">
        <v>5.5610566438695406</v>
      </c>
      <c r="BD7" s="412">
        <v>7.7961783210296796</v>
      </c>
      <c r="BE7" s="412">
        <v>9.9297271943992715</v>
      </c>
      <c r="BF7" s="412">
        <v>12.341412845554347</v>
      </c>
      <c r="BG7" s="412">
        <v>15.251910388180491</v>
      </c>
      <c r="BH7" s="400" t="e">
        <f t="shared" ref="BH7:BH15" ca="1" si="3">$N7/Q7</f>
        <v>#VALUE!</v>
      </c>
      <c r="BI7" s="400" t="e">
        <f t="shared" ref="BI7:BI15" ca="1" si="4">$N7/R7</f>
        <v>#VALUE!</v>
      </c>
      <c r="BJ7" s="400" t="e">
        <f t="shared" ref="BJ7:BJ15" ca="1" si="5">$N7/S7</f>
        <v>#VALUE!</v>
      </c>
      <c r="BK7" s="400" t="e">
        <f t="shared" ref="BK7:BK15" ca="1" si="6">$N7/T7</f>
        <v>#VALUE!</v>
      </c>
      <c r="BL7" s="400" t="e">
        <f t="shared" ref="BL7:BL15" ca="1" si="7">$N7/U7</f>
        <v>#VALUE!</v>
      </c>
      <c r="BM7" s="400" t="e">
        <f t="shared" ref="BM7:BM15" ca="1" si="8">$N7/V7</f>
        <v>#VALUE!</v>
      </c>
      <c r="BN7" s="400" t="e">
        <f t="shared" ref="BN7:BN15" ca="1" si="9">$N7/W7</f>
        <v>#VALUE!</v>
      </c>
      <c r="BO7" s="400" t="e">
        <f t="shared" ref="BO7:BS11" ca="1" si="10">$N7/AK7</f>
        <v>#VALUE!</v>
      </c>
      <c r="BP7" s="400" t="e">
        <f t="shared" ca="1" si="10"/>
        <v>#VALUE!</v>
      </c>
      <c r="BQ7" s="400" t="e">
        <f t="shared" ca="1" si="10"/>
        <v>#VALUE!</v>
      </c>
      <c r="BR7" s="400" t="e">
        <f t="shared" ca="1" si="10"/>
        <v>#VALUE!</v>
      </c>
      <c r="BS7" s="400" t="e">
        <f t="shared" ca="1" si="10"/>
        <v>#VALUE!</v>
      </c>
      <c r="BT7" s="400" t="e">
        <f t="shared" ref="BT7:BT15" ca="1" si="11">$H7/AT7</f>
        <v>#VALUE!</v>
      </c>
      <c r="BU7" s="400" t="e">
        <f t="shared" ref="BU7:BU15" ca="1" si="12">$H7/AU7</f>
        <v>#VALUE!</v>
      </c>
      <c r="BV7" s="400" t="e">
        <f t="shared" ref="BV7:BV15" ca="1" si="13">$H7/AV7</f>
        <v>#VALUE!</v>
      </c>
      <c r="BW7" s="400" t="e">
        <f t="shared" ref="BW7:BW15" ca="1" si="14">$H7/AW7</f>
        <v>#VALUE!</v>
      </c>
      <c r="BX7" s="400" t="e">
        <f t="shared" ref="BX7:BX15" ca="1" si="15">$H7/AX7</f>
        <v>#VALUE!</v>
      </c>
      <c r="BY7" s="8" t="e">
        <f t="shared" ref="BY7:BY15" ca="1" si="16">$H7/BC7</f>
        <v>#VALUE!</v>
      </c>
      <c r="BZ7" s="400" t="e">
        <f t="shared" ref="BZ7:BZ15" ca="1" si="17">$H7/BD7</f>
        <v>#VALUE!</v>
      </c>
      <c r="CA7" s="400" t="e">
        <f t="shared" ref="CA7:CA15" ca="1" si="18">$H7/BE7</f>
        <v>#VALUE!</v>
      </c>
      <c r="CB7" s="400" t="e">
        <f t="shared" ref="CB7:CB15" ca="1" si="19">$H7/BF7</f>
        <v>#VALUE!</v>
      </c>
      <c r="CC7" s="400" t="e">
        <f t="shared" ref="CC7:CC15" ca="1" si="20">$H7/BG7</f>
        <v>#VALUE!</v>
      </c>
      <c r="CD7" s="12">
        <v>22</v>
      </c>
      <c r="CE7" s="168">
        <v>22</v>
      </c>
      <c r="CF7" s="82">
        <v>22</v>
      </c>
      <c r="CG7" s="82">
        <v>22</v>
      </c>
      <c r="CH7" s="82">
        <v>20</v>
      </c>
      <c r="CI7" s="46"/>
      <c r="CJ7" s="46"/>
      <c r="CK7" s="46"/>
      <c r="CL7" s="46"/>
      <c r="CM7" s="46"/>
      <c r="CN7" s="43">
        <f>CD7*BD7+CS7</f>
        <v>180.93166457170605</v>
      </c>
      <c r="CO7" s="43">
        <f>CE7*BE7+CT7</f>
        <v>228.34967875929877</v>
      </c>
      <c r="CP7" s="43">
        <f>CF7*BF7+CU7</f>
        <v>281.87397128700422</v>
      </c>
      <c r="CQ7" s="43">
        <f>CG7*BG7+CV7</f>
        <v>346.4335677345652</v>
      </c>
      <c r="CR7" s="7"/>
      <c r="CS7" s="7">
        <v>9.4157415090531167</v>
      </c>
      <c r="CT7" s="7">
        <v>9.8956804825147859</v>
      </c>
      <c r="CU7" s="7">
        <v>10.362888684808595</v>
      </c>
      <c r="CV7" s="7">
        <v>10.891539194594367</v>
      </c>
      <c r="CW7" s="7">
        <v>11.486061651712326</v>
      </c>
      <c r="CX7" s="41">
        <f t="shared" ref="CX7:DA9" si="21">CN7*DC7+DH7</f>
        <v>46054.855109972115</v>
      </c>
      <c r="CY7" s="41">
        <f t="shared" si="21"/>
        <v>57106.681334615001</v>
      </c>
      <c r="CZ7" s="41">
        <f t="shared" si="21"/>
        <v>67502.046311632002</v>
      </c>
      <c r="DA7" s="41">
        <f t="shared" si="21"/>
        <v>79648.601162355088</v>
      </c>
      <c r="DB7" s="101"/>
      <c r="DC7" s="40">
        <v>268.11700000000002</v>
      </c>
      <c r="DD7" s="40">
        <v>260.83978597315854</v>
      </c>
      <c r="DE7" s="40">
        <v>248.1890966810862</v>
      </c>
      <c r="DF7" s="40">
        <v>236.9995543424447</v>
      </c>
      <c r="DG7" s="40">
        <v>225.4961356810752</v>
      </c>
      <c r="DH7" s="40">
        <v>-2456</v>
      </c>
      <c r="DI7" s="40">
        <v>-2456</v>
      </c>
      <c r="DJ7" s="40">
        <v>-2456</v>
      </c>
      <c r="DK7" s="40">
        <v>-2456</v>
      </c>
      <c r="DL7" s="40">
        <v>-2456</v>
      </c>
      <c r="DM7" s="7"/>
      <c r="DN7" s="7"/>
      <c r="DO7" s="85"/>
      <c r="DP7" s="85"/>
      <c r="DQ7" s="85"/>
      <c r="DR7" s="85"/>
      <c r="DS7" s="85"/>
      <c r="DT7" s="78" t="e">
        <f t="shared" ref="DT7:DT15" ca="1" si="22">_xlfn.RRI(DT$2,$H7,CN7+$DO7*$DT$2)</f>
        <v>#VALUE!</v>
      </c>
      <c r="DU7" s="78" t="e">
        <f ca="1">_xlfn.RRI(DU$2,$H7,CO7+$DO7*$DT$2+SUM($DP7:DP7))</f>
        <v>#VALUE!</v>
      </c>
      <c r="DV7" s="6" t="e">
        <f ca="1">_xlfn.RRI(DV$2,$H7,CP7+$DO7*$DT$2+SUM($DP7:DQ7))</f>
        <v>#VALUE!</v>
      </c>
      <c r="DW7" s="6" t="e">
        <f ca="1">_xlfn.RRI(DW$2,$H7,CQ7+$DO7*$DT$2+SUM($DP7:DR7))</f>
        <v>#VALUE!</v>
      </c>
      <c r="DX7" s="171" t="e">
        <f ca="1">SUM(CN7,$DO7:DO7)/$H7</f>
        <v>#VALUE!</v>
      </c>
      <c r="DY7" s="132" t="e">
        <f ca="1">SUM(CO7,$DO7:DP7)/$H7</f>
        <v>#VALUE!</v>
      </c>
      <c r="DZ7" s="132" t="e">
        <f ca="1">SUM(CP7,$DO7:DQ7)/$H7</f>
        <v>#VALUE!</v>
      </c>
      <c r="EA7" s="132" t="e">
        <f ca="1">SUM(CQ7,$DO7:DR7)/$H7</f>
        <v>#VALUE!</v>
      </c>
      <c r="EB7" s="78" cm="1">
        <f t="array" ref="EB7">_xll.BDP(""&amp;$B7&amp;"","CHG_PCT_1M")/100</f>
        <v>0.1284518</v>
      </c>
      <c r="EC7" s="6" cm="1">
        <f t="array" ref="EC7">_xll.BDP(""&amp;$B7&amp;"","CHG_PCT_3M")/100</f>
        <v>-4.4954939999999999E-2</v>
      </c>
      <c r="ED7" s="194" cm="1">
        <f t="array" ref="ED7">_xll.BDP(""&amp;$B7&amp;"","CHG_PCT_6M")/100</f>
        <v>-0.34728510000000001</v>
      </c>
      <c r="EE7" s="363">
        <f t="shared" ref="EE7:EE15" ca="1" si="23">_xlfn.RRI(2+$DT$2,$DT$2*S7+(1-$DT$2)*T7,V7)</f>
        <v>0.10482807616893575</v>
      </c>
      <c r="EF7" s="175">
        <f t="shared" ref="EF7:EF15" ca="1" si="24">EG7-EE7</f>
        <v>0.12287852704406754</v>
      </c>
      <c r="EG7" s="363">
        <f t="shared" ref="EG7:EG15" ca="1" si="25">_xlfn.RRI(2+$DT$2,$DT$2*(BC7*DC7)+(1-$DT$2)*(BD7*DD7),(BF7*DF7))</f>
        <v>0.22770660321300329</v>
      </c>
      <c r="EH7" s="6" t="e">
        <f t="shared" ref="EH7:EH15" ca="1" si="26">EI7-EG7</f>
        <v>#VALUE!</v>
      </c>
      <c r="EI7" s="363" t="e">
        <f ca="1">ER7+EQ7</f>
        <v>#VALUE!</v>
      </c>
      <c r="EJ7" s="6" t="e">
        <f ca="1">EK7-EI7</f>
        <v>#VALUE!</v>
      </c>
      <c r="EK7" s="194" t="e">
        <f t="shared" ref="EK7:EK15" ca="1" si="27">DV7</f>
        <v>#VALUE!</v>
      </c>
      <c r="EL7" s="6">
        <f t="shared" ref="EL7:EL15" si="28">_xlfn.RRI(3,AK7,AN7)</f>
        <v>0.11415066923161898</v>
      </c>
      <c r="EM7" s="194">
        <f t="shared" ref="EM7:EM15" si="29">_xlfn.RRI(3,BC7,BF7)</f>
        <v>0.30437516281396637</v>
      </c>
      <c r="EN7" s="163" cm="1">
        <f t="array" ref="EN7">_xll.BDP(B7,"AVG_DAILY_VALUE_TRADED_3M")/10^6</f>
        <v>667.04992000000004</v>
      </c>
      <c r="EQ7" s="372" t="e">
        <f ca="1">CU7/H7/$DV$2</f>
        <v>#VALUE!</v>
      </c>
      <c r="ER7" s="361">
        <f t="shared" ref="ER7:ER15" ca="1" si="30">_xlfn.RRI(2+$DT$2,$DT$2*(BC7)+(1-$DT$2)*(BD7),(BF7))</f>
        <v>0.28113522580781591</v>
      </c>
      <c r="ES7" s="127" t="e">
        <f t="shared" ref="ES7:ES15" ca="1" si="31">ER7-EG7+EQ7</f>
        <v>#VALUE!</v>
      </c>
      <c r="EU7" s="361" t="e">
        <f t="shared" ref="EU7:EU15" ca="1" si="32">_xlfn.RRI(2+$DT$2,($DT$2*BY7+(1-$DT$2)*BZ7),CF7)</f>
        <v>#VALUE!</v>
      </c>
      <c r="EV7" s="127" t="e">
        <f ca="1">EJ7-EU7</f>
        <v>#VALUE!</v>
      </c>
      <c r="EX7" s="292"/>
      <c r="EY7" s="292"/>
      <c r="EZ7" s="292"/>
      <c r="FA7" s="292"/>
      <c r="FB7" s="292"/>
      <c r="FC7" s="292"/>
      <c r="FD7" s="292"/>
      <c r="FE7" s="292"/>
      <c r="FF7" s="296">
        <v>0.2</v>
      </c>
      <c r="FG7" s="296">
        <v>-0.2</v>
      </c>
      <c r="FH7" s="295">
        <f>FF7-FG7</f>
        <v>0.4</v>
      </c>
      <c r="FI7" s="298">
        <f>FT7/CF7-1</f>
        <v>9.0909090909090828E-2</v>
      </c>
      <c r="FJ7" s="298">
        <f>FU7/CF7-1</f>
        <v>-0.36363636363636365</v>
      </c>
      <c r="FK7" s="295">
        <f>FI7-FJ7</f>
        <v>0.45454545454545447</v>
      </c>
      <c r="FL7" s="15">
        <f>FF7+FG7</f>
        <v>0</v>
      </c>
      <c r="FM7" s="15">
        <f>FJ7+FI7</f>
        <v>-0.27272727272727282</v>
      </c>
      <c r="FN7" s="15" t="e">
        <f ca="1">EK7+FF7/3+FI7/3</f>
        <v>#VALUE!</v>
      </c>
      <c r="FO7" s="15" t="e">
        <f ca="1">EK7+FG7/3+FJ7/3</f>
        <v>#VALUE!</v>
      </c>
      <c r="FP7" s="300" t="e">
        <f ca="1">EK7+FL7/3+FM7/3</f>
        <v>#VALUE!</v>
      </c>
      <c r="FQ7" s="15" t="e">
        <f ca="1">EK7</f>
        <v>#VALUE!</v>
      </c>
      <c r="FR7" s="300" t="e">
        <f ca="1">FP7-FQ7</f>
        <v>#VALUE!</v>
      </c>
      <c r="FS7" s="15" t="e">
        <f ca="1">FN7-FO7</f>
        <v>#VALUE!</v>
      </c>
      <c r="FT7" s="294">
        <v>24</v>
      </c>
      <c r="FU7" s="294">
        <v>14</v>
      </c>
    </row>
    <row r="8" spans="2:178" x14ac:dyDescent="0.25">
      <c r="B8" s="10" t="s">
        <v>94</v>
      </c>
      <c r="C8" s="321"/>
      <c r="D8" s="142" t="s">
        <v>95</v>
      </c>
      <c r="E8" s="290">
        <v>1</v>
      </c>
      <c r="F8" s="393">
        <v>46119</v>
      </c>
      <c r="G8" s="394"/>
      <c r="H8" s="411" t="str" cm="1">
        <f t="array" aca="1" ref="H8" ca="1">_xll.BQL($B8, "px_last", "dates=" &amp; _xll.BQL.DATE($D$2))</f>
        <v>#N/A Connection</v>
      </c>
      <c r="I8" s="396">
        <v>7460</v>
      </c>
      <c r="J8" s="25">
        <v>-89462</v>
      </c>
      <c r="K8" s="396">
        <f>40262+22865</f>
        <v>63127</v>
      </c>
      <c r="L8" s="396"/>
      <c r="M8" s="76">
        <f>K8+J8</f>
        <v>-26335</v>
      </c>
      <c r="N8" s="76" t="e">
        <f ca="1">I8*H8+M8+L8</f>
        <v>#VALUE!</v>
      </c>
      <c r="O8" s="396">
        <v>204094</v>
      </c>
      <c r="P8" s="396">
        <v>227582</v>
      </c>
      <c r="Q8" s="396">
        <v>261803</v>
      </c>
      <c r="R8" s="396">
        <v>305440</v>
      </c>
      <c r="S8" s="396">
        <v>356800.78109230485</v>
      </c>
      <c r="T8" s="396">
        <v>418430.46359661606</v>
      </c>
      <c r="U8" s="396">
        <v>491728.15016945539</v>
      </c>
      <c r="V8" s="396">
        <v>575920.69279290503</v>
      </c>
      <c r="W8" s="396">
        <v>670017.48518140521</v>
      </c>
      <c r="X8" s="21">
        <v>0.68159769517967206</v>
      </c>
      <c r="Y8" s="21">
        <v>0.69748486259897535</v>
      </c>
      <c r="Z8" s="21">
        <v>0.69409059483657565</v>
      </c>
      <c r="AA8" s="21">
        <v>0.68589248297537975</v>
      </c>
      <c r="AB8" s="21">
        <f>AA8-0.25%</f>
        <v>0.6833924829753798</v>
      </c>
      <c r="AC8" s="21">
        <f>AB8-0.25%</f>
        <v>0.68089248297537985</v>
      </c>
      <c r="AD8" s="21">
        <f>AC8-0.25%</f>
        <v>0.67839248297537991</v>
      </c>
      <c r="AE8" s="21">
        <f>AD8-0.25%</f>
        <v>0.67589248297537996</v>
      </c>
      <c r="AF8" s="21">
        <f>AE8-0.25%</f>
        <v>0.67339248297538001</v>
      </c>
      <c r="AG8" s="417">
        <f t="shared" ref="AG8:AO8" si="33">X8*O8</f>
        <v>139110</v>
      </c>
      <c r="AH8" s="417">
        <f t="shared" si="33"/>
        <v>158735</v>
      </c>
      <c r="AI8" s="417">
        <f t="shared" si="33"/>
        <v>181715</v>
      </c>
      <c r="AJ8" s="417">
        <f t="shared" si="33"/>
        <v>209499</v>
      </c>
      <c r="AK8" s="417">
        <f t="shared" si="33"/>
        <v>243834.97171822516</v>
      </c>
      <c r="AL8" s="417">
        <f t="shared" si="33"/>
        <v>284906.15731083922</v>
      </c>
      <c r="AM8" s="417">
        <f t="shared" si="33"/>
        <v>333584.68074234732</v>
      </c>
      <c r="AN8" s="417">
        <f t="shared" si="33"/>
        <v>389260.46704869758</v>
      </c>
      <c r="AO8" s="417">
        <f t="shared" si="33"/>
        <v>451184.73798322631</v>
      </c>
      <c r="AP8" s="399">
        <v>9.1199413294219607</v>
      </c>
      <c r="AQ8" s="399">
        <v>11.056696024915441</v>
      </c>
      <c r="AR8" s="399">
        <v>12.415500970483903</v>
      </c>
      <c r="AS8" s="399">
        <v>15.949195056247017</v>
      </c>
      <c r="AT8" s="399">
        <v>18.277835794394107</v>
      </c>
      <c r="AU8" s="399">
        <v>21.138180284761525</v>
      </c>
      <c r="AV8" s="399">
        <v>24.860953541246186</v>
      </c>
      <c r="AW8" s="399">
        <v>30.196773819737377</v>
      </c>
      <c r="AX8" s="399">
        <v>36.555022724601947</v>
      </c>
      <c r="AY8" s="418">
        <f>AP8</f>
        <v>9.1199413294219607</v>
      </c>
      <c r="AZ8" s="418">
        <f>AQ8</f>
        <v>11.056696024915441</v>
      </c>
      <c r="BA8" s="418">
        <f>AR8</f>
        <v>12.415500970483903</v>
      </c>
      <c r="BB8" s="418">
        <f>AS8</f>
        <v>15.949195056247017</v>
      </c>
      <c r="BC8" s="418">
        <f>AT8</f>
        <v>18.277835794394107</v>
      </c>
      <c r="BD8" s="418">
        <f>AU8</f>
        <v>21.138180284761525</v>
      </c>
      <c r="BE8" s="418">
        <f>AV8</f>
        <v>24.860953541246186</v>
      </c>
      <c r="BF8" s="418">
        <f>AW8</f>
        <v>30.196773819737377</v>
      </c>
      <c r="BG8" s="418">
        <f>AX8</f>
        <v>36.555022724601947</v>
      </c>
      <c r="BH8" s="400" t="e">
        <f ca="1">$N8/Q8</f>
        <v>#VALUE!</v>
      </c>
      <c r="BI8" s="400" t="e">
        <f ca="1">$N8/R8</f>
        <v>#VALUE!</v>
      </c>
      <c r="BJ8" s="400" t="e">
        <f ca="1">$N8/S8</f>
        <v>#VALUE!</v>
      </c>
      <c r="BK8" s="400" t="e">
        <f ca="1">$N8/T8</f>
        <v>#VALUE!</v>
      </c>
      <c r="BL8" s="400" t="e">
        <f ca="1">$N8/U8</f>
        <v>#VALUE!</v>
      </c>
      <c r="BM8" s="400" t="e">
        <f ca="1">$N8/V8</f>
        <v>#VALUE!</v>
      </c>
      <c r="BN8" s="400" t="e">
        <f ca="1">$N8/W8</f>
        <v>#VALUE!</v>
      </c>
      <c r="BO8" s="400" t="e">
        <f ca="1">$N8/AK8</f>
        <v>#VALUE!</v>
      </c>
      <c r="BP8" s="400" t="e">
        <f ca="1">$N8/AL8</f>
        <v>#VALUE!</v>
      </c>
      <c r="BQ8" s="400" t="e">
        <f ca="1">$N8/AM8</f>
        <v>#VALUE!</v>
      </c>
      <c r="BR8" s="400" t="e">
        <f ca="1">$N8/AN8</f>
        <v>#VALUE!</v>
      </c>
      <c r="BS8" s="400" t="e">
        <f ca="1">$N8/AO8</f>
        <v>#VALUE!</v>
      </c>
      <c r="BT8" s="400" t="e">
        <f ca="1">$H8/AT8</f>
        <v>#VALUE!</v>
      </c>
      <c r="BU8" s="400" t="e">
        <f ca="1">$H8/AU8</f>
        <v>#VALUE!</v>
      </c>
      <c r="BV8" s="400" t="e">
        <f ca="1">$H8/AV8</f>
        <v>#VALUE!</v>
      </c>
      <c r="BW8" s="400" t="e">
        <f ca="1">$H8/AW8</f>
        <v>#VALUE!</v>
      </c>
      <c r="BX8" s="400" t="e">
        <f ca="1">$H8/AX8</f>
        <v>#VALUE!</v>
      </c>
      <c r="BY8" s="8" t="e">
        <f ca="1">$H8/BC8</f>
        <v>#VALUE!</v>
      </c>
      <c r="BZ8" s="400" t="e">
        <f ca="1">$H8/BD8</f>
        <v>#VALUE!</v>
      </c>
      <c r="CA8" s="400" t="e">
        <f ca="1">$H8/BE8</f>
        <v>#VALUE!</v>
      </c>
      <c r="CB8" s="400" t="e">
        <f ca="1">$H8/BF8</f>
        <v>#VALUE!</v>
      </c>
      <c r="CC8" s="400" t="e">
        <f ca="1">$H8/BG8</f>
        <v>#VALUE!</v>
      </c>
      <c r="CD8" s="12">
        <v>24</v>
      </c>
      <c r="CE8" s="167">
        <f>CD8</f>
        <v>24</v>
      </c>
      <c r="CF8" s="12">
        <f>CE8</f>
        <v>24</v>
      </c>
      <c r="CG8" s="12">
        <f>CF8</f>
        <v>24</v>
      </c>
      <c r="CH8" s="82">
        <f>CG8</f>
        <v>24</v>
      </c>
      <c r="CI8" s="46"/>
      <c r="CJ8" s="46"/>
      <c r="CK8" s="46"/>
      <c r="CL8" s="46"/>
      <c r="CM8" s="46"/>
      <c r="CN8" s="43">
        <f>CD8*BD8+CS8</f>
        <v>543.48941150750716</v>
      </c>
      <c r="CO8" s="43">
        <f>CE8*BE8+CT8</f>
        <v>632.90500458997315</v>
      </c>
      <c r="CP8" s="43">
        <f>CF8*BF8+CU8</f>
        <v>761.24215164231339</v>
      </c>
      <c r="CQ8" s="43">
        <f>CG8*BG8+CV8</f>
        <v>914.51528842552602</v>
      </c>
      <c r="CR8" s="7"/>
      <c r="CS8" s="7">
        <v>36.173084673230619</v>
      </c>
      <c r="CT8" s="7">
        <v>36.24211960006474</v>
      </c>
      <c r="CU8" s="7">
        <v>36.519579968616263</v>
      </c>
      <c r="CV8" s="7">
        <v>37.194743035079263</v>
      </c>
      <c r="CW8" s="7">
        <v>38.054830581210275</v>
      </c>
      <c r="CX8" s="41"/>
      <c r="CY8" s="41"/>
      <c r="CZ8" s="41"/>
      <c r="DA8" s="41"/>
      <c r="DB8" s="19"/>
      <c r="DC8" s="40">
        <v>7464.1132333347759</v>
      </c>
      <c r="DD8" s="40">
        <v>7449.8953973850275</v>
      </c>
      <c r="DE8" s="40">
        <v>7393.2942337241893</v>
      </c>
      <c r="DF8" s="40">
        <v>7259.0903436369081</v>
      </c>
      <c r="DG8" s="40">
        <v>7095.0256741732437</v>
      </c>
      <c r="DH8" s="40">
        <v>-26335</v>
      </c>
      <c r="DI8" s="40">
        <v>-26335</v>
      </c>
      <c r="DJ8" s="40">
        <v>-26335</v>
      </c>
      <c r="DK8" s="40">
        <v>-26335</v>
      </c>
      <c r="DL8" s="40">
        <v>-26335</v>
      </c>
      <c r="DM8" s="7"/>
      <c r="DN8" s="7"/>
      <c r="DO8" s="7">
        <v>3.8280000000000003</v>
      </c>
      <c r="DP8" s="7">
        <v>4.2108000000000008</v>
      </c>
      <c r="DQ8" s="7">
        <v>4.6318800000000016</v>
      </c>
      <c r="DR8" s="7">
        <v>5.0950680000000022</v>
      </c>
      <c r="DS8" s="7">
        <v>5.6045748000000026</v>
      </c>
      <c r="DT8" s="78" t="e">
        <f ca="1">_xlfn.RRI(DT$2,$H8,CN8+$DO8*$DT$2)</f>
        <v>#VALUE!</v>
      </c>
      <c r="DU8" s="78" t="e">
        <f ca="1">_xlfn.RRI(DU$2,$H8,CO8+$DO8*$DT$2+SUM($DP8:DP8))</f>
        <v>#VALUE!</v>
      </c>
      <c r="DV8" s="6" t="e">
        <f ca="1">_xlfn.RRI(DV$2,$H8,CP8+$DO8*$DT$2+SUM($DP8:DQ8))</f>
        <v>#VALUE!</v>
      </c>
      <c r="DW8" s="6" t="e">
        <f ca="1">_xlfn.RRI(DW$2,$H8,CQ8+$DO8*$DT$2+SUM($DP8:DR8))</f>
        <v>#VALUE!</v>
      </c>
      <c r="DX8" s="171" t="e">
        <f ca="1">SUM(CN8,$DO8:DO8)/$H8</f>
        <v>#VALUE!</v>
      </c>
      <c r="DY8" s="132" t="e">
        <f ca="1">SUM(CO8,$DO8:DP8)/$H8</f>
        <v>#VALUE!</v>
      </c>
      <c r="DZ8" s="132" t="e">
        <f ca="1">SUM(CP8,$DO8:DQ8)/$H8</f>
        <v>#VALUE!</v>
      </c>
      <c r="EA8" s="132" t="e">
        <f ca="1">SUM(CQ8,$DO8:DR8)/$H8</f>
        <v>#VALUE!</v>
      </c>
      <c r="EB8" s="78" cm="1">
        <f t="array" ref="EB8">_xll.BDP(""&amp;$B8&amp;"","CHG_PCT_1M")/100</f>
        <v>-4.9744539999999997E-3</v>
      </c>
      <c r="EC8" s="6" cm="1">
        <f t="array" ref="EC8">_xll.BDP(""&amp;$B8&amp;"","CHG_PCT_3M")/100</f>
        <v>1.001323E-2</v>
      </c>
      <c r="ED8" s="194" cm="1">
        <f t="array" ref="ED8">_xll.BDP(""&amp;$B8&amp;"","CHG_PCT_6M")/100</f>
        <v>-0.1587817</v>
      </c>
      <c r="EE8" s="363">
        <f ca="1">_xlfn.RRI(2+$DT$2,$DT$2*S8+(1-$DT$2)*T8,V8)</f>
        <v>0.17165081381044955</v>
      </c>
      <c r="EF8" s="175">
        <f ca="1">EG8-EE8</f>
        <v>1.3687748792496901E-3</v>
      </c>
      <c r="EG8" s="363">
        <f ca="1">_xlfn.RRI(2+$DT$2,$DT$2*(BC8*DC8)+(1-$DT$2)*(BD8*DD8),(BF8*DF8))</f>
        <v>0.17301958868969924</v>
      </c>
      <c r="EH8" s="6" t="e">
        <f ca="1">EI8-EG8</f>
        <v>#VALUE!</v>
      </c>
      <c r="EI8" s="362" t="e">
        <f ca="1">EK8-EJ8</f>
        <v>#VALUE!</v>
      </c>
      <c r="EJ8" s="363" t="e">
        <f ca="1">EU8</f>
        <v>#VALUE!</v>
      </c>
      <c r="EK8" s="194" t="e">
        <f ca="1">DV8</f>
        <v>#VALUE!</v>
      </c>
      <c r="EL8" s="6">
        <f>_xlfn.RRI(3,AK8,AN8)</f>
        <v>0.16873155132457596</v>
      </c>
      <c r="EM8" s="194">
        <f>_xlfn.RRI(3,BC8,BF8)</f>
        <v>0.18216634571324763</v>
      </c>
      <c r="EN8" s="163" cm="1">
        <f t="array" ref="EN8">_xll.BDP(B8,"AVG_DAILY_VALUE_TRADED_3M")/10^6</f>
        <v>14042.203136</v>
      </c>
      <c r="EQ8" s="361">
        <f ca="1">IFERROR(AVERAGE(DP8:DQ8)/H8,0)</f>
        <v>0</v>
      </c>
      <c r="ER8" s="361">
        <f ca="1">_xlfn.RRI(2+$DT$2,$DT$2*(BC8)+(1-$DT$2)*(BD8),(BF8))</f>
        <v>0.18543558022786399</v>
      </c>
      <c r="ES8" s="127">
        <f ca="1">ER8-EG8+EQ8</f>
        <v>1.241599153816475E-2</v>
      </c>
      <c r="EU8" s="361" t="e">
        <f ca="1">_xlfn.RRI(2+$DT$2,($DT$2*BY8+(1-$DT$2)*BZ8),CF8)</f>
        <v>#VALUE!</v>
      </c>
      <c r="EV8" s="127" t="e">
        <f ca="1">EJ8-EU8</f>
        <v>#VALUE!</v>
      </c>
      <c r="EX8" s="292"/>
      <c r="EY8" s="292"/>
      <c r="EZ8" s="292"/>
      <c r="FA8" s="292"/>
      <c r="FB8" s="292"/>
      <c r="FC8" s="292"/>
      <c r="FD8" s="292"/>
      <c r="FE8" s="292"/>
      <c r="FF8" s="296">
        <v>0.3</v>
      </c>
      <c r="FG8" s="296">
        <v>-0.2</v>
      </c>
      <c r="FH8" s="295">
        <f>FF8-FG8</f>
        <v>0.5</v>
      </c>
      <c r="FI8" s="298">
        <f>FT8/CF8-1</f>
        <v>0.25</v>
      </c>
      <c r="FJ8" s="298">
        <f>FU8/CF8-1</f>
        <v>-0.25</v>
      </c>
      <c r="FK8" s="295">
        <f>FI8-FJ8</f>
        <v>0.5</v>
      </c>
      <c r="FL8" s="15">
        <f>FF8+FG8</f>
        <v>9.9999999999999978E-2</v>
      </c>
      <c r="FM8" s="15">
        <f>FJ8+FI8</f>
        <v>0</v>
      </c>
      <c r="FN8" s="15" t="e">
        <f ca="1">EK8+FF8/3+FI8/3</f>
        <v>#VALUE!</v>
      </c>
      <c r="FO8" s="15" t="e">
        <f ca="1">EK8+FG8/3+FJ8/3</f>
        <v>#VALUE!</v>
      </c>
      <c r="FP8" s="300" t="e">
        <f ca="1">EK8+FL8/3+FM8/3</f>
        <v>#VALUE!</v>
      </c>
      <c r="FQ8" s="15" t="e">
        <f ca="1">EK8</f>
        <v>#VALUE!</v>
      </c>
      <c r="FR8" s="300" t="e">
        <f ca="1">FP8-FQ8</f>
        <v>#VALUE!</v>
      </c>
      <c r="FS8" s="15" t="e">
        <f ca="1">FN8-FO8</f>
        <v>#VALUE!</v>
      </c>
      <c r="FT8" s="294">
        <v>30</v>
      </c>
      <c r="FU8" s="294">
        <v>18</v>
      </c>
    </row>
    <row r="9" spans="2:178" ht="16.149999999999999" customHeight="1" x14ac:dyDescent="0.25">
      <c r="B9" s="10" t="s">
        <v>103</v>
      </c>
      <c r="C9" s="321"/>
      <c r="D9" s="142" t="s">
        <v>82</v>
      </c>
      <c r="E9" s="290">
        <v>1</v>
      </c>
      <c r="F9" s="413">
        <v>45688</v>
      </c>
      <c r="G9" s="392"/>
      <c r="H9" s="414" t="str" cm="1">
        <f t="array" aca="1" ref="H9" ca="1">_xll.BQL($B9, "px_last", "dates=" &amp; _xll.BQL.DATE($D$2))</f>
        <v>#N/A Connection</v>
      </c>
      <c r="I9" s="59">
        <v>1169</v>
      </c>
      <c r="J9" s="87">
        <v>-9609</v>
      </c>
      <c r="K9" s="396">
        <f>7169+4277</f>
        <v>11446</v>
      </c>
      <c r="L9" s="392"/>
      <c r="M9" s="76">
        <f t="shared" si="0"/>
        <v>1837</v>
      </c>
      <c r="N9" s="89" t="e">
        <f t="shared" ca="1" si="1"/>
        <v>#VALUE!</v>
      </c>
      <c r="O9" s="396">
        <v>29520</v>
      </c>
      <c r="P9" s="396">
        <v>31207</v>
      </c>
      <c r="Q9" s="396">
        <v>34176</v>
      </c>
      <c r="R9" s="396">
        <v>36800</v>
      </c>
      <c r="S9" s="396">
        <v>40273.14</v>
      </c>
      <c r="T9" s="396">
        <v>45307.1345</v>
      </c>
      <c r="U9" s="396">
        <v>50851.130094</v>
      </c>
      <c r="V9" s="396">
        <v>56381.116424600004</v>
      </c>
      <c r="W9" s="396">
        <v>62355.580072735211</v>
      </c>
      <c r="X9" s="4">
        <f t="shared" si="2"/>
        <v>0.74261517615176154</v>
      </c>
      <c r="Y9" s="4">
        <f t="shared" si="2"/>
        <v>0.72429262665427629</v>
      </c>
      <c r="Z9" s="4">
        <f t="shared" si="2"/>
        <v>0.7318293539325843</v>
      </c>
      <c r="AA9" s="4">
        <f t="shared" si="2"/>
        <v>0.73764945652173908</v>
      </c>
      <c r="AB9" s="4">
        <f t="shared" si="2"/>
        <v>0.73802709696835178</v>
      </c>
      <c r="AC9" s="4">
        <f t="shared" si="2"/>
        <v>0.73982573399908758</v>
      </c>
      <c r="AD9" s="4">
        <f t="shared" si="2"/>
        <v>0.74211568086993507</v>
      </c>
      <c r="AE9" s="4">
        <f t="shared" si="2"/>
        <v>0.7453321903489627</v>
      </c>
      <c r="AF9" s="4">
        <f t="shared" si="2"/>
        <v>0.74935857697350228</v>
      </c>
      <c r="AG9" s="396">
        <v>21922</v>
      </c>
      <c r="AH9" s="396">
        <v>22603</v>
      </c>
      <c r="AI9" s="396">
        <v>25011</v>
      </c>
      <c r="AJ9" s="396">
        <v>27145.5</v>
      </c>
      <c r="AK9" s="396">
        <v>29722.668600000005</v>
      </c>
      <c r="AL9" s="396">
        <v>33519.384036857882</v>
      </c>
      <c r="AM9" s="396">
        <v>37737.421032714454</v>
      </c>
      <c r="AN9" s="396">
        <v>42022.660999066997</v>
      </c>
      <c r="AO9" s="396">
        <v>46726.688749662135</v>
      </c>
      <c r="AP9" s="415">
        <v>4.0161702127659575</v>
      </c>
      <c r="AQ9" s="415">
        <v>3.6754237288135592</v>
      </c>
      <c r="AR9" s="415">
        <v>4.4796610169491524</v>
      </c>
      <c r="AS9" s="415">
        <v>6.0991489361702129</v>
      </c>
      <c r="AT9" s="415">
        <v>7.1545717182091444</v>
      </c>
      <c r="AU9" s="415">
        <v>8.5750357339995453</v>
      </c>
      <c r="AV9" s="415">
        <v>10.465866482766273</v>
      </c>
      <c r="AW9" s="415">
        <v>12.432472627336123</v>
      </c>
      <c r="AX9" s="415">
        <v>14.872586727709393</v>
      </c>
      <c r="AY9" s="416">
        <f t="shared" ref="AY9:BG9" si="34">AP9</f>
        <v>4.0161702127659575</v>
      </c>
      <c r="AZ9" s="416">
        <f t="shared" si="34"/>
        <v>3.6754237288135592</v>
      </c>
      <c r="BA9" s="416">
        <f t="shared" si="34"/>
        <v>4.4796610169491524</v>
      </c>
      <c r="BB9" s="416">
        <f t="shared" si="34"/>
        <v>6.0991489361702129</v>
      </c>
      <c r="BC9" s="416">
        <f t="shared" si="34"/>
        <v>7.1545717182091444</v>
      </c>
      <c r="BD9" s="416">
        <f t="shared" si="34"/>
        <v>8.5750357339995453</v>
      </c>
      <c r="BE9" s="416">
        <f t="shared" si="34"/>
        <v>10.465866482766273</v>
      </c>
      <c r="BF9" s="416">
        <f t="shared" si="34"/>
        <v>12.432472627336123</v>
      </c>
      <c r="BG9" s="416">
        <f t="shared" si="34"/>
        <v>14.872586727709393</v>
      </c>
      <c r="BH9" s="400" t="e">
        <f t="shared" ca="1" si="3"/>
        <v>#VALUE!</v>
      </c>
      <c r="BI9" s="400" t="e">
        <f t="shared" ca="1" si="4"/>
        <v>#VALUE!</v>
      </c>
      <c r="BJ9" s="400" t="e">
        <f t="shared" ca="1" si="5"/>
        <v>#VALUE!</v>
      </c>
      <c r="BK9" s="400" t="e">
        <f t="shared" ca="1" si="6"/>
        <v>#VALUE!</v>
      </c>
      <c r="BL9" s="400" t="e">
        <f t="shared" ca="1" si="7"/>
        <v>#VALUE!</v>
      </c>
      <c r="BM9" s="400" t="e">
        <f t="shared" ca="1" si="8"/>
        <v>#VALUE!</v>
      </c>
      <c r="BN9" s="400" t="e">
        <f t="shared" ca="1" si="9"/>
        <v>#VALUE!</v>
      </c>
      <c r="BO9" s="400" t="e">
        <f t="shared" ca="1" si="10"/>
        <v>#VALUE!</v>
      </c>
      <c r="BP9" s="400" t="e">
        <f t="shared" ca="1" si="10"/>
        <v>#VALUE!</v>
      </c>
      <c r="BQ9" s="400" t="e">
        <f t="shared" ca="1" si="10"/>
        <v>#VALUE!</v>
      </c>
      <c r="BR9" s="400" t="e">
        <f t="shared" ca="1" si="10"/>
        <v>#VALUE!</v>
      </c>
      <c r="BS9" s="400" t="e">
        <f t="shared" ca="1" si="10"/>
        <v>#VALUE!</v>
      </c>
      <c r="BT9" s="400" t="e">
        <f t="shared" ca="1" si="11"/>
        <v>#VALUE!</v>
      </c>
      <c r="BU9" s="400" t="e">
        <f t="shared" ca="1" si="12"/>
        <v>#VALUE!</v>
      </c>
      <c r="BV9" s="400" t="e">
        <f t="shared" ca="1" si="13"/>
        <v>#VALUE!</v>
      </c>
      <c r="BW9" s="400" t="e">
        <f t="shared" ca="1" si="14"/>
        <v>#VALUE!</v>
      </c>
      <c r="BX9" s="400" t="e">
        <f t="shared" ca="1" si="15"/>
        <v>#VALUE!</v>
      </c>
      <c r="BY9" s="8" t="e">
        <f t="shared" ca="1" si="16"/>
        <v>#VALUE!</v>
      </c>
      <c r="BZ9" s="400" t="e">
        <f t="shared" ca="1" si="17"/>
        <v>#VALUE!</v>
      </c>
      <c r="CA9" s="400" t="e">
        <f t="shared" ca="1" si="18"/>
        <v>#VALUE!</v>
      </c>
      <c r="CB9" s="400" t="e">
        <f t="shared" ca="1" si="19"/>
        <v>#VALUE!</v>
      </c>
      <c r="CC9" s="400" t="e">
        <f t="shared" ca="1" si="20"/>
        <v>#VALUE!</v>
      </c>
      <c r="CD9" s="12">
        <v>22</v>
      </c>
      <c r="CE9" s="168">
        <v>22</v>
      </c>
      <c r="CF9" s="82">
        <v>22</v>
      </c>
      <c r="CG9" s="82">
        <v>22</v>
      </c>
      <c r="CH9" s="12">
        <v>24</v>
      </c>
      <c r="CI9" s="46"/>
      <c r="CJ9" s="46"/>
      <c r="CK9" s="46"/>
      <c r="CL9" s="46"/>
      <c r="CM9" s="46"/>
      <c r="CN9" s="43">
        <f>CD9*BD9</f>
        <v>188.65078614799</v>
      </c>
      <c r="CO9" s="43">
        <f>CE9*BE9</f>
        <v>230.24906262085801</v>
      </c>
      <c r="CP9" s="43">
        <f>CF9*BF9</f>
        <v>273.51439780139469</v>
      </c>
      <c r="CQ9" s="43">
        <f>CG9*BG9</f>
        <v>327.19690800960666</v>
      </c>
      <c r="CR9" s="7"/>
      <c r="CS9" s="7"/>
      <c r="CT9" s="7"/>
      <c r="CU9" s="7"/>
      <c r="CV9" s="7"/>
      <c r="CW9" s="7"/>
      <c r="CX9" s="101">
        <f t="shared" si="21"/>
        <v>220789.27827819853</v>
      </c>
      <c r="CY9" s="101">
        <f t="shared" si="21"/>
        <v>263601.11780320387</v>
      </c>
      <c r="CZ9" s="101">
        <f t="shared" si="21"/>
        <v>305681.9658041806</v>
      </c>
      <c r="DA9" s="101">
        <f t="shared" si="21"/>
        <v>356154.29075774428</v>
      </c>
      <c r="DB9" s="19"/>
      <c r="DC9" s="40">
        <v>1160.6221354754284</v>
      </c>
      <c r="DD9" s="40">
        <v>1136.8737610638636</v>
      </c>
      <c r="DE9" s="40">
        <v>1110.8920343740356</v>
      </c>
      <c r="DF9" s="40">
        <v>1082.8870386126673</v>
      </c>
      <c r="DG9" s="40">
        <v>1053.2432391937741</v>
      </c>
      <c r="DH9" s="41">
        <f>$M$9</f>
        <v>1837</v>
      </c>
      <c r="DI9" s="41">
        <f>$M$9</f>
        <v>1837</v>
      </c>
      <c r="DJ9" s="41">
        <f>$M$9</f>
        <v>1837</v>
      </c>
      <c r="DK9" s="41">
        <f>$M$9</f>
        <v>1837</v>
      </c>
      <c r="DL9" s="101">
        <f>$M$9</f>
        <v>1837</v>
      </c>
      <c r="DM9" s="7"/>
      <c r="DN9" s="7"/>
      <c r="DO9" s="85">
        <v>2.861828687283658</v>
      </c>
      <c r="DP9" s="85">
        <v>3.4300142935998186</v>
      </c>
      <c r="DQ9" s="85">
        <v>4.1863465931065091</v>
      </c>
      <c r="DR9" s="85">
        <v>4.9729890509344497</v>
      </c>
      <c r="DS9" s="85">
        <v>5.9490346910837575</v>
      </c>
      <c r="DT9" s="78" t="e">
        <f t="shared" ca="1" si="22"/>
        <v>#VALUE!</v>
      </c>
      <c r="DU9" s="78" t="e">
        <f ca="1">_xlfn.RRI(DU$2,$H9,CO9+$DO9*$DT$2+SUM($DP9:DP9))</f>
        <v>#VALUE!</v>
      </c>
      <c r="DV9" s="6" t="e">
        <f ca="1">_xlfn.RRI(DV$2,$H9,CP9+$DO9*$DT$2+SUM($DP9:DQ9))</f>
        <v>#VALUE!</v>
      </c>
      <c r="DW9" s="6" t="e">
        <f ca="1">_xlfn.RRI(DW$2,$H9,CQ9+$DO9*$DT$2+SUM($DP9:DR9))</f>
        <v>#VALUE!</v>
      </c>
      <c r="DX9" s="171" t="e">
        <f ca="1">SUM(CN9,$DO9:DO9)/$H9</f>
        <v>#VALUE!</v>
      </c>
      <c r="DY9" s="132" t="e">
        <f ca="1">SUM(CO9,$DO9:DP9)/$H9</f>
        <v>#VALUE!</v>
      </c>
      <c r="DZ9" s="132" t="e">
        <f ca="1">SUM(CP9,$DO9:DQ9)/$H9</f>
        <v>#VALUE!</v>
      </c>
      <c r="EA9" s="132" t="e">
        <f ca="1">SUM(CQ9,$DO9:DR9)/$H9</f>
        <v>#VALUE!</v>
      </c>
      <c r="EB9" s="78" cm="1">
        <f t="array" ref="EB9">_xll.BDP(""&amp;$B9&amp;"","CHG_PCT_1M")/100</f>
        <v>8.4541749999999999E-2</v>
      </c>
      <c r="EC9" s="6" cm="1">
        <f t="array" ref="EC9">_xll.BDP(""&amp;$B9&amp;"","CHG_PCT_3M")/100</f>
        <v>-8.208871999999999E-2</v>
      </c>
      <c r="ED9" s="194" cm="1">
        <f t="array" ref="ED9">_xll.BDP(""&amp;$B9&amp;"","CHG_PCT_6M")/100</f>
        <v>-0.2453118</v>
      </c>
      <c r="EE9" s="363">
        <f t="shared" ca="1" si="23"/>
        <v>0.11684576360699617</v>
      </c>
      <c r="EF9" s="175">
        <f t="shared" ca="1" si="24"/>
        <v>5.6599069303004512E-2</v>
      </c>
      <c r="EG9" s="363">
        <f t="shared" ca="1" si="25"/>
        <v>0.17344483291000068</v>
      </c>
      <c r="EH9" s="6">
        <f t="shared" ca="1" si="26"/>
        <v>2.7524658526276502E-2</v>
      </c>
      <c r="EI9" s="363">
        <f ca="1">ER9+EQ9</f>
        <v>0.20096949143627718</v>
      </c>
      <c r="EJ9" s="6" t="e">
        <f ca="1">EK9-EI9</f>
        <v>#VALUE!</v>
      </c>
      <c r="EK9" s="194" t="e">
        <f t="shared" ca="1" si="27"/>
        <v>#VALUE!</v>
      </c>
      <c r="EL9" s="6">
        <f t="shared" si="28"/>
        <v>0.12235931888292328</v>
      </c>
      <c r="EM9" s="194">
        <f t="shared" si="29"/>
        <v>0.2022403230689418</v>
      </c>
      <c r="EN9" s="163" cm="1">
        <f t="array" ref="EN9">_xll.BDP(B9,"AVG_DAILY_VALUE_TRADED_3M")/10^6</f>
        <v>476.46280000000002</v>
      </c>
      <c r="EQ9" s="361">
        <f t="shared" ref="EQ9:EQ15" ca="1" si="35">IFERROR(AVERAGE(DP9:DQ9)/H9,0)</f>
        <v>0</v>
      </c>
      <c r="ER9" s="361">
        <f t="shared" ca="1" si="30"/>
        <v>0.20096949143627718</v>
      </c>
      <c r="ES9" s="127">
        <f t="shared" ca="1" si="31"/>
        <v>2.7524658526276502E-2</v>
      </c>
      <c r="EU9" s="361" t="e">
        <f t="shared" ca="1" si="32"/>
        <v>#VALUE!</v>
      </c>
      <c r="EV9" s="127" t="e">
        <f t="shared" ref="EV9:EV15" ca="1" si="36">EJ9-EU9</f>
        <v>#VALUE!</v>
      </c>
      <c r="EX9" s="292"/>
      <c r="EY9" s="292"/>
      <c r="EZ9" s="292"/>
      <c r="FA9" s="292"/>
      <c r="FB9" s="292"/>
      <c r="FC9" s="292"/>
      <c r="FD9" s="292"/>
      <c r="FE9" s="292"/>
      <c r="FF9" s="296">
        <v>0.1</v>
      </c>
      <c r="FG9" s="296">
        <v>-0.1</v>
      </c>
      <c r="FH9" s="295">
        <f>FF9-FG9</f>
        <v>0.2</v>
      </c>
      <c r="FI9" s="298">
        <f>FT9/CF9-1</f>
        <v>0.27272727272727271</v>
      </c>
      <c r="FJ9" s="298">
        <f>FU9/CF9-1</f>
        <v>-0.27272727272727271</v>
      </c>
      <c r="FK9" s="295">
        <f>FI9-FJ9</f>
        <v>0.54545454545454541</v>
      </c>
      <c r="FL9" s="15">
        <f>FF9+FG9</f>
        <v>0</v>
      </c>
      <c r="FM9" s="15">
        <f>FJ9+FI9</f>
        <v>0</v>
      </c>
      <c r="FN9" s="15" t="e">
        <f ca="1">EK9+FF9/3+FI9/3</f>
        <v>#VALUE!</v>
      </c>
      <c r="FO9" s="15" t="e">
        <f ca="1">EK9+FG9/3+FJ9/3</f>
        <v>#VALUE!</v>
      </c>
      <c r="FP9" s="300" t="e">
        <f ca="1">EK9+FL9/3+FM9/3</f>
        <v>#VALUE!</v>
      </c>
      <c r="FQ9" s="15" t="e">
        <f ca="1">EK9</f>
        <v>#VALUE!</v>
      </c>
      <c r="FR9" s="300" t="e">
        <f ca="1">FP9-FQ9</f>
        <v>#VALUE!</v>
      </c>
      <c r="FS9" s="15" t="e">
        <f ca="1">FN9-FO9</f>
        <v>#VALUE!</v>
      </c>
      <c r="FT9" s="294">
        <v>28</v>
      </c>
      <c r="FU9" s="294">
        <v>16</v>
      </c>
      <c r="FV9" t="s">
        <v>84</v>
      </c>
    </row>
    <row r="10" spans="2:178" ht="15.75" thickBot="1" x14ac:dyDescent="0.3">
      <c r="B10" s="10" t="s">
        <v>189</v>
      </c>
      <c r="C10" s="321"/>
      <c r="D10" s="390" t="s">
        <v>163</v>
      </c>
      <c r="E10" s="290">
        <v>1</v>
      </c>
      <c r="F10" s="393">
        <v>46163</v>
      </c>
      <c r="G10" s="394"/>
      <c r="H10" s="395" t="str" cm="1">
        <f t="array" aca="1" ref="H10" ca="1">_xll.BQL($B10, "px_last", "dates=" &amp; _xll.BQL.DATE($D$2))</f>
        <v>#N/A Connection</v>
      </c>
      <c r="I10" s="25">
        <v>2573.7760749255003</v>
      </c>
      <c r="J10" s="25">
        <v>-84819</v>
      </c>
      <c r="K10" s="2">
        <v>85081</v>
      </c>
      <c r="L10" s="2"/>
      <c r="M10" s="80">
        <f>K10+J10</f>
        <v>262</v>
      </c>
      <c r="N10" s="184" t="e">
        <f ca="1">I10*H10+M10+L10</f>
        <v>#VALUE!</v>
      </c>
      <c r="O10" s="396">
        <v>116608</v>
      </c>
      <c r="P10" s="396">
        <v>134902</v>
      </c>
      <c r="Q10" s="396">
        <v>164500</v>
      </c>
      <c r="R10" s="396">
        <v>200965</v>
      </c>
      <c r="S10" s="396">
        <v>245901.56143896768</v>
      </c>
      <c r="T10" s="396">
        <v>290756.50616195699</v>
      </c>
      <c r="U10" s="396">
        <v>334809.81360964588</v>
      </c>
      <c r="V10" s="396">
        <v>378121.59562814777</v>
      </c>
      <c r="W10" s="396">
        <v>419230.58633338124</v>
      </c>
      <c r="X10" s="4"/>
      <c r="Y10" s="4"/>
      <c r="Z10" s="4"/>
      <c r="AA10" s="4"/>
      <c r="AB10" s="4"/>
      <c r="AC10" s="4"/>
      <c r="AD10" s="4"/>
      <c r="AE10" s="4"/>
      <c r="AF10" s="4"/>
      <c r="AG10" s="419">
        <f t="shared" ref="AG10:AO10" si="37">X10*O10</f>
        <v>0</v>
      </c>
      <c r="AH10" s="419">
        <f t="shared" si="37"/>
        <v>0</v>
      </c>
      <c r="AI10" s="419">
        <f t="shared" si="37"/>
        <v>0</v>
      </c>
      <c r="AJ10" s="419">
        <f t="shared" si="37"/>
        <v>0</v>
      </c>
      <c r="AK10" s="419">
        <f t="shared" si="37"/>
        <v>0</v>
      </c>
      <c r="AL10" s="419">
        <f t="shared" si="37"/>
        <v>0</v>
      </c>
      <c r="AM10" s="419">
        <f t="shared" si="37"/>
        <v>0</v>
      </c>
      <c r="AN10" s="419">
        <f t="shared" si="37"/>
        <v>0</v>
      </c>
      <c r="AO10" s="419">
        <f t="shared" si="37"/>
        <v>0</v>
      </c>
      <c r="AP10" s="398">
        <v>10.44078460399704</v>
      </c>
      <c r="AQ10" s="398">
        <v>16.379134994117344</v>
      </c>
      <c r="AR10" s="398">
        <v>24.207033675432967</v>
      </c>
      <c r="AS10" s="398">
        <v>29.015803172450298</v>
      </c>
      <c r="AT10" s="398">
        <v>28.213866160776998</v>
      </c>
      <c r="AU10" s="398">
        <v>33.053022966473911</v>
      </c>
      <c r="AV10" s="398">
        <v>42.085773100857018</v>
      </c>
      <c r="AW10" s="399">
        <v>52.931226268941444</v>
      </c>
      <c r="AX10" s="399">
        <v>63.198372985160184</v>
      </c>
      <c r="AY10" s="398">
        <v>10.44078460399704</v>
      </c>
      <c r="AZ10" s="398">
        <v>16.379134994117344</v>
      </c>
      <c r="BA10" s="398">
        <v>24.207033675432967</v>
      </c>
      <c r="BB10" s="398">
        <v>29.015803172450298</v>
      </c>
      <c r="BC10" s="398">
        <v>28.213866160776998</v>
      </c>
      <c r="BD10" s="398">
        <v>33.053022966473911</v>
      </c>
      <c r="BE10" s="398">
        <v>42.085773100857018</v>
      </c>
      <c r="BF10" s="399">
        <v>52.931226268941444</v>
      </c>
      <c r="BG10" s="399">
        <v>63.198372985160184</v>
      </c>
      <c r="BH10" s="400" t="e">
        <f t="shared" ref="BH10:BN10" ca="1" si="38">$N10/Q10</f>
        <v>#VALUE!</v>
      </c>
      <c r="BI10" s="400" t="e">
        <f t="shared" ca="1" si="38"/>
        <v>#VALUE!</v>
      </c>
      <c r="BJ10" s="400" t="e">
        <f t="shared" ca="1" si="38"/>
        <v>#VALUE!</v>
      </c>
      <c r="BK10" s="400" t="e">
        <f t="shared" ca="1" si="38"/>
        <v>#VALUE!</v>
      </c>
      <c r="BL10" s="400" t="e">
        <f t="shared" ca="1" si="38"/>
        <v>#VALUE!</v>
      </c>
      <c r="BM10" s="400" t="e">
        <f t="shared" ca="1" si="38"/>
        <v>#VALUE!</v>
      </c>
      <c r="BN10" s="400" t="e">
        <f t="shared" ca="1" si="38"/>
        <v>#VALUE!</v>
      </c>
      <c r="BO10" s="401" t="str">
        <f ca="1">IFERROR($N10/AK10,"n/a")</f>
        <v>n/a</v>
      </c>
      <c r="BP10" s="401" t="str">
        <f ca="1">IFERROR($N10/AL10,"n/a")</f>
        <v>n/a</v>
      </c>
      <c r="BQ10" s="401" t="str">
        <f ca="1">IFERROR($N10/AM10,"n/a")</f>
        <v>n/a</v>
      </c>
      <c r="BR10" s="401" t="str">
        <f ca="1">IFERROR($N10/AN10,"n/a")</f>
        <v>n/a</v>
      </c>
      <c r="BS10" s="401" t="str">
        <f ca="1">IFERROR($N10/AO10,"n/a")</f>
        <v>n/a</v>
      </c>
      <c r="BT10" s="400" t="e">
        <f ca="1">$H10/AT10</f>
        <v>#VALUE!</v>
      </c>
      <c r="BU10" s="400" t="e">
        <f ca="1">$H10/AU10</f>
        <v>#VALUE!</v>
      </c>
      <c r="BV10" s="400" t="e">
        <f ca="1">$H10/AV10</f>
        <v>#VALUE!</v>
      </c>
      <c r="BW10" s="400" t="e">
        <f ca="1">$H10/AW10</f>
        <v>#VALUE!</v>
      </c>
      <c r="BX10" s="400" t="e">
        <f ca="1">$H10/AX10</f>
        <v>#VALUE!</v>
      </c>
      <c r="BY10" s="8" t="e">
        <f ca="1">$H10/BC10</f>
        <v>#VALUE!</v>
      </c>
      <c r="BZ10" s="400" t="e">
        <f ca="1">$H10/BD10</f>
        <v>#VALUE!</v>
      </c>
      <c r="CA10" s="400" t="e">
        <f ca="1">$H10/BE10</f>
        <v>#VALUE!</v>
      </c>
      <c r="CB10" s="400" t="e">
        <f ca="1">$H10/BF10</f>
        <v>#VALUE!</v>
      </c>
      <c r="CC10" s="400" t="e">
        <f ca="1">$H10/BG10</f>
        <v>#VALUE!</v>
      </c>
      <c r="CD10" s="12">
        <v>19</v>
      </c>
      <c r="CE10" s="167">
        <v>19</v>
      </c>
      <c r="CF10" s="12">
        <v>19</v>
      </c>
      <c r="CG10" s="12">
        <v>19</v>
      </c>
      <c r="CH10" s="12">
        <v>20</v>
      </c>
      <c r="CI10" s="46"/>
      <c r="CJ10" s="46"/>
      <c r="CK10" s="46"/>
      <c r="CL10" s="46"/>
      <c r="CM10" s="46"/>
      <c r="CN10" s="136">
        <f>CD10*BD10</f>
        <v>628.00743636300433</v>
      </c>
      <c r="CO10" s="136">
        <f>CE10*BE10</f>
        <v>799.62968891628338</v>
      </c>
      <c r="CP10" s="136">
        <f>CF10*BF10</f>
        <v>1005.6932991098874</v>
      </c>
      <c r="CQ10" s="136">
        <f>CG10*BG10</f>
        <v>1200.7690867180436</v>
      </c>
      <c r="CR10" s="7"/>
      <c r="CS10" s="7"/>
      <c r="CT10" s="7"/>
      <c r="CU10" s="7"/>
      <c r="CV10" s="7"/>
      <c r="CW10" s="7"/>
      <c r="CX10" s="137"/>
      <c r="CY10" s="137"/>
      <c r="CZ10" s="137"/>
      <c r="DA10" s="137"/>
      <c r="DB10" s="101"/>
      <c r="DC10" s="185">
        <v>2573.7760749255003</v>
      </c>
      <c r="DD10" s="185">
        <v>2573.7760749255003</v>
      </c>
      <c r="DE10" s="185">
        <v>2508.1620678051509</v>
      </c>
      <c r="DF10" s="185">
        <v>2422.9535686483632</v>
      </c>
      <c r="DG10" s="185">
        <v>2332.7559505323252</v>
      </c>
      <c r="DH10" s="40"/>
      <c r="DI10" s="40"/>
      <c r="DJ10" s="40"/>
      <c r="DK10" s="40"/>
      <c r="DL10" s="40"/>
      <c r="DM10" s="7"/>
      <c r="DN10" s="7"/>
      <c r="DO10" s="7">
        <v>2.2050000000000001</v>
      </c>
      <c r="DP10" s="7">
        <v>2.3152500000000003</v>
      </c>
      <c r="DQ10" s="7">
        <v>2.4310125000000005</v>
      </c>
      <c r="DR10" s="7">
        <v>2.5525631250000007</v>
      </c>
      <c r="DS10" s="7">
        <v>2.6801912812500008</v>
      </c>
      <c r="DT10" s="78" t="e">
        <f ca="1">_xlfn.RRI(DT$2,$H10,CN10+$DO10*$DT$2)</f>
        <v>#VALUE!</v>
      </c>
      <c r="DU10" s="78" t="e">
        <f ca="1">_xlfn.RRI(DU$2,$H10,CO10+$DO10*$DT$2+SUM($DP10:DP10))</f>
        <v>#VALUE!</v>
      </c>
      <c r="DV10" s="6" t="e">
        <f ca="1">_xlfn.RRI(DV$2,$H10,CP10+$DO10*$DT$2+SUM($DP10:DQ10))</f>
        <v>#VALUE!</v>
      </c>
      <c r="DW10" s="6" t="e">
        <f ca="1">_xlfn.RRI(DW$2,$H10,CQ10+$DO10*$DT$2+SUM($DP10:DR10))</f>
        <v>#VALUE!</v>
      </c>
      <c r="DX10" s="172" t="e">
        <f ca="1">SUM(CN10,$DO10:DO10)/$H10</f>
        <v>#VALUE!</v>
      </c>
      <c r="DY10" s="138" t="e">
        <f ca="1">SUM(CO10,$DO10:DP10)/$H10</f>
        <v>#VALUE!</v>
      </c>
      <c r="DZ10" s="138" t="e">
        <f ca="1">SUM(CP10,$DO10:DQ10)/$H10</f>
        <v>#VALUE!</v>
      </c>
      <c r="EA10" s="138" t="e">
        <f ca="1">SUM(CQ10,$DO10:DR10)/$H10</f>
        <v>#VALUE!</v>
      </c>
      <c r="EB10" s="78" cm="1">
        <f t="array" ref="EB10">_xll.BDP(""&amp;$B10&amp;"","CHG_PCT_1M")/100</f>
        <v>-3.2281879999999999E-2</v>
      </c>
      <c r="EC10" s="6" cm="1">
        <f t="array" ref="EC10">_xll.BDP(""&amp;$B10&amp;"","CHG_PCT_3M")/100</f>
        <v>-8.5150240000000002E-2</v>
      </c>
      <c r="ED10" s="194" cm="1">
        <f t="array" ref="ED10">_xll.BDP(""&amp;$B10&amp;"","CHG_PCT_6M")/100</f>
        <v>-0.1152519</v>
      </c>
      <c r="EE10" s="363">
        <f ca="1">_xlfn.RRI(2+$DT$2,$DT$2*S10+(1-$DT$2)*T10,V10)</f>
        <v>0.1478717155984528</v>
      </c>
      <c r="EF10" s="175">
        <f ca="1">EG10-EE10</f>
        <v>6.5956755713509452E-2</v>
      </c>
      <c r="EG10" s="363">
        <f ca="1">_xlfn.RRI(2+$DT$2,$DT$2*(BC10*DC10)+(1-$DT$2)*(BD10*DD10),(BF10*DF10))</f>
        <v>0.21382847131196225</v>
      </c>
      <c r="EH10" s="6">
        <f ca="1">EI10-EG10</f>
        <v>2.898544837450201E-2</v>
      </c>
      <c r="EI10" s="363">
        <f ca="1">ER10+EQ10</f>
        <v>0.24281391968646426</v>
      </c>
      <c r="EJ10" s="6" t="e">
        <f ca="1">EK10-EI10</f>
        <v>#VALUE!</v>
      </c>
      <c r="EK10" s="194" t="e">
        <f ca="1">DV10</f>
        <v>#VALUE!</v>
      </c>
      <c r="EL10" s="6">
        <f>_xlfn.RRI(3,AK10,AN10)</f>
        <v>0</v>
      </c>
      <c r="EM10" s="194">
        <f>_xlfn.RRI(3,BC10,BF10)</f>
        <v>0.2333408548312621</v>
      </c>
      <c r="EN10" s="163" cm="1">
        <f t="array" ref="EN10">_xll.BDP(B10,"AVG_DAILY_VALUE_TRADED_3M")/10^6</f>
        <v>10224.255999999999</v>
      </c>
      <c r="EQ10" s="361">
        <f ca="1">IFERROR(AVERAGE(DP10:DQ10)/H10,0)</f>
        <v>0</v>
      </c>
      <c r="ER10" s="361">
        <f ca="1">_xlfn.RRI(2+$DT$2,$DT$2*(BC10)+(1-$DT$2)*(BD10),(BF10))</f>
        <v>0.24281391968646426</v>
      </c>
      <c r="ES10" s="127">
        <f ca="1">ER10-EG10+EQ10</f>
        <v>2.898544837450201E-2</v>
      </c>
      <c r="EU10" s="361" t="e">
        <f ca="1">_xlfn.RRI(2+$DT$2,($DT$2*BY10+(1-$DT$2)*BZ10),CF10)</f>
        <v>#VALUE!</v>
      </c>
      <c r="EV10" s="127" t="e">
        <f ca="1">EJ10-EU10</f>
        <v>#VALUE!</v>
      </c>
      <c r="EX10" s="292"/>
      <c r="EY10" s="292"/>
      <c r="EZ10" s="292"/>
      <c r="FA10" s="292"/>
      <c r="FB10" s="292"/>
      <c r="FC10" s="292"/>
      <c r="FD10" s="292"/>
      <c r="FE10" s="292"/>
      <c r="FF10" s="296">
        <v>0.25</v>
      </c>
      <c r="FG10" s="296">
        <v>-0.25</v>
      </c>
      <c r="FH10" s="295"/>
      <c r="FI10" s="298"/>
      <c r="FJ10" s="298"/>
      <c r="FK10" s="295"/>
      <c r="FL10" s="15"/>
      <c r="FM10" s="15"/>
      <c r="FN10" s="15" t="s">
        <v>98</v>
      </c>
      <c r="FO10" s="15" t="s">
        <v>98</v>
      </c>
      <c r="FP10" s="15" t="s">
        <v>98</v>
      </c>
      <c r="FQ10" s="15" t="s">
        <v>98</v>
      </c>
      <c r="FR10" s="15" t="s">
        <v>98</v>
      </c>
      <c r="FS10" s="15" t="s">
        <v>98</v>
      </c>
      <c r="FT10" s="294"/>
      <c r="FU10" s="294"/>
      <c r="FV10" s="15" t="s">
        <v>234</v>
      </c>
    </row>
    <row r="11" spans="2:178" ht="15.75" thickBot="1" x14ac:dyDescent="0.3">
      <c r="B11" s="10" t="s">
        <v>133</v>
      </c>
      <c r="C11" s="321"/>
      <c r="D11" s="390" t="s">
        <v>134</v>
      </c>
      <c r="E11" s="290">
        <v>1</v>
      </c>
      <c r="F11" s="393">
        <v>46120</v>
      </c>
      <c r="G11" s="394"/>
      <c r="H11" s="395" t="str" cm="1">
        <f t="array" aca="1" ref="H11" ca="1">_xll.BQL($B11, "px_last", "dates=" &amp; _xll.BQL.DATE($D$2))</f>
        <v>#N/A Connection</v>
      </c>
      <c r="I11" s="25">
        <v>10827</v>
      </c>
      <c r="J11" s="25">
        <v>-123329</v>
      </c>
      <c r="K11" s="2">
        <v>178547</v>
      </c>
      <c r="L11" s="2"/>
      <c r="M11" s="80">
        <f t="shared" si="0"/>
        <v>55218</v>
      </c>
      <c r="N11" s="184" t="e">
        <f t="shared" ca="1" si="1"/>
        <v>#VALUE!</v>
      </c>
      <c r="O11" s="420">
        <v>513983</v>
      </c>
      <c r="P11" s="420">
        <v>574785</v>
      </c>
      <c r="Q11" s="420">
        <v>637959</v>
      </c>
      <c r="R11" s="420">
        <v>716924</v>
      </c>
      <c r="S11" s="420">
        <v>817469.17501926073</v>
      </c>
      <c r="T11" s="420">
        <v>928320.73608933319</v>
      </c>
      <c r="U11" s="420">
        <v>1044416.014692727</v>
      </c>
      <c r="V11" s="420">
        <v>1153879.6805496779</v>
      </c>
      <c r="W11" s="420">
        <v>1265800.990084115</v>
      </c>
      <c r="X11" s="135">
        <f t="shared" ref="X11:AF11" si="39">AG11/O11</f>
        <v>0.43805339865326287</v>
      </c>
      <c r="Y11" s="135">
        <f t="shared" si="39"/>
        <v>0.46982088955000567</v>
      </c>
      <c r="Z11" s="135">
        <f t="shared" si="39"/>
        <v>0.48854393464156787</v>
      </c>
      <c r="AA11" s="135">
        <f t="shared" si="39"/>
        <v>0.50285664868242663</v>
      </c>
      <c r="AB11" s="135">
        <f t="shared" si="39"/>
        <v>0.52586232943955857</v>
      </c>
      <c r="AC11" s="135">
        <f t="shared" si="39"/>
        <v>0.54940611163236874</v>
      </c>
      <c r="AD11" s="135">
        <f t="shared" si="39"/>
        <v>0.56879977424228445</v>
      </c>
      <c r="AE11" s="135">
        <f t="shared" si="39"/>
        <v>0.58047854418577527</v>
      </c>
      <c r="AF11" s="135">
        <f t="shared" si="39"/>
        <v>0.58999332863741405</v>
      </c>
      <c r="AG11" s="397">
        <v>225152</v>
      </c>
      <c r="AH11" s="397">
        <v>270046</v>
      </c>
      <c r="AI11" s="397">
        <v>311671</v>
      </c>
      <c r="AJ11" s="397">
        <v>360510</v>
      </c>
      <c r="AK11" s="397">
        <v>429876.24462066265</v>
      </c>
      <c r="AL11" s="397">
        <v>510025.08596253896</v>
      </c>
      <c r="AM11" s="397">
        <v>594063.59337224951</v>
      </c>
      <c r="AN11" s="397">
        <v>669802.39713102451</v>
      </c>
      <c r="AO11" s="397">
        <v>746814.1395322613</v>
      </c>
      <c r="AP11" s="398">
        <v>-0.26715084895475549</v>
      </c>
      <c r="AQ11" s="398">
        <v>2.8998284407167367</v>
      </c>
      <c r="AR11" s="398">
        <v>5.5263501539035538</v>
      </c>
      <c r="AS11" s="398">
        <v>7.1737323358270988</v>
      </c>
      <c r="AT11" s="398">
        <v>7.3680359006528509</v>
      </c>
      <c r="AU11" s="398">
        <v>9.5121519915390103</v>
      </c>
      <c r="AV11" s="398">
        <v>12.252122487521879</v>
      </c>
      <c r="AW11" s="399">
        <v>15.255781628958147</v>
      </c>
      <c r="AX11" s="399">
        <v>19.175996570913487</v>
      </c>
      <c r="AY11" s="395">
        <v>1.3825694376288151</v>
      </c>
      <c r="AZ11" s="395">
        <v>2.8115707205489895</v>
      </c>
      <c r="BA11" s="395">
        <v>5.7456393993097663</v>
      </c>
      <c r="BB11" s="395">
        <v>5.8183245589729378</v>
      </c>
      <c r="BC11" s="395">
        <v>7.3680359006528509</v>
      </c>
      <c r="BD11" s="395">
        <v>9.5121519915390103</v>
      </c>
      <c r="BE11" s="395">
        <v>12.252122487521879</v>
      </c>
      <c r="BF11" s="421">
        <v>15.255781628958147</v>
      </c>
      <c r="BG11" s="421">
        <v>19.175996570913487</v>
      </c>
      <c r="BH11" s="400" t="e">
        <f t="shared" ca="1" si="3"/>
        <v>#VALUE!</v>
      </c>
      <c r="BI11" s="400" t="e">
        <f t="shared" ca="1" si="4"/>
        <v>#VALUE!</v>
      </c>
      <c r="BJ11" s="400" t="e">
        <f t="shared" ca="1" si="5"/>
        <v>#VALUE!</v>
      </c>
      <c r="BK11" s="400" t="e">
        <f t="shared" ca="1" si="6"/>
        <v>#VALUE!</v>
      </c>
      <c r="BL11" s="400" t="e">
        <f t="shared" ca="1" si="7"/>
        <v>#VALUE!</v>
      </c>
      <c r="BM11" s="400" t="e">
        <f t="shared" ca="1" si="8"/>
        <v>#VALUE!</v>
      </c>
      <c r="BN11" s="400" t="e">
        <f t="shared" ca="1" si="9"/>
        <v>#VALUE!</v>
      </c>
      <c r="BO11" s="422" t="e">
        <f t="shared" ca="1" si="10"/>
        <v>#VALUE!</v>
      </c>
      <c r="BP11" s="400" t="e">
        <f t="shared" ca="1" si="10"/>
        <v>#VALUE!</v>
      </c>
      <c r="BQ11" s="400" t="e">
        <f t="shared" ca="1" si="10"/>
        <v>#VALUE!</v>
      </c>
      <c r="BR11" s="400" t="e">
        <f t="shared" ca="1" si="10"/>
        <v>#VALUE!</v>
      </c>
      <c r="BS11" s="400" t="e">
        <f t="shared" ca="1" si="10"/>
        <v>#VALUE!</v>
      </c>
      <c r="BT11" s="400" t="e">
        <f t="shared" ca="1" si="11"/>
        <v>#VALUE!</v>
      </c>
      <c r="BU11" s="400" t="e">
        <f t="shared" ca="1" si="12"/>
        <v>#VALUE!</v>
      </c>
      <c r="BV11" s="400" t="e">
        <f t="shared" ca="1" si="13"/>
        <v>#VALUE!</v>
      </c>
      <c r="BW11" s="400" t="e">
        <f t="shared" ca="1" si="14"/>
        <v>#VALUE!</v>
      </c>
      <c r="BX11" s="400" t="e">
        <f t="shared" ca="1" si="15"/>
        <v>#VALUE!</v>
      </c>
      <c r="BY11" s="8" t="e">
        <f t="shared" ca="1" si="16"/>
        <v>#VALUE!</v>
      </c>
      <c r="BZ11" s="400" t="e">
        <f t="shared" ca="1" si="17"/>
        <v>#VALUE!</v>
      </c>
      <c r="CA11" s="400" t="e">
        <f t="shared" ca="1" si="18"/>
        <v>#VALUE!</v>
      </c>
      <c r="CB11" s="400" t="e">
        <f t="shared" ca="1" si="19"/>
        <v>#VALUE!</v>
      </c>
      <c r="CC11" s="400" t="e">
        <f t="shared" ca="1" si="20"/>
        <v>#VALUE!</v>
      </c>
      <c r="CD11" s="12">
        <v>26</v>
      </c>
      <c r="CE11" s="167">
        <v>26</v>
      </c>
      <c r="CF11" s="485">
        <v>26</v>
      </c>
      <c r="CG11" s="12">
        <v>26</v>
      </c>
      <c r="CH11" s="12">
        <v>24</v>
      </c>
      <c r="CI11" s="46"/>
      <c r="CJ11" s="46"/>
      <c r="CK11" s="46"/>
      <c r="CL11" s="46"/>
      <c r="CM11" s="46"/>
      <c r="CN11" s="136">
        <f t="shared" ref="CN11:CQ11" si="40">CD11*BD11</f>
        <v>247.31595178001427</v>
      </c>
      <c r="CO11" s="136">
        <f t="shared" si="40"/>
        <v>318.55518467556885</v>
      </c>
      <c r="CP11" s="136">
        <f t="shared" si="40"/>
        <v>396.65032235291181</v>
      </c>
      <c r="CQ11" s="136">
        <f t="shared" si="40"/>
        <v>498.57591084375065</v>
      </c>
      <c r="CR11" s="7"/>
      <c r="CS11" s="7"/>
      <c r="CT11" s="7"/>
      <c r="CU11" s="7"/>
      <c r="CV11" s="7"/>
      <c r="CW11" s="7"/>
      <c r="CX11" s="137"/>
      <c r="CY11" s="137"/>
      <c r="CZ11" s="137"/>
      <c r="DA11" s="137"/>
      <c r="DB11" s="101"/>
      <c r="DC11" s="185">
        <v>10827</v>
      </c>
      <c r="DD11" s="185">
        <v>10788.313435727139</v>
      </c>
      <c r="DE11" s="185">
        <v>10587.028530122499</v>
      </c>
      <c r="DF11" s="185">
        <v>10192.758926742536</v>
      </c>
      <c r="DG11" s="185">
        <v>9738.2352726687677</v>
      </c>
      <c r="DH11" s="40"/>
      <c r="DI11" s="40"/>
      <c r="DJ11" s="40"/>
      <c r="DK11" s="40"/>
      <c r="DL11" s="40"/>
      <c r="DM11" s="7"/>
      <c r="DN11" s="7"/>
      <c r="DO11" s="7"/>
      <c r="DP11" s="7"/>
      <c r="DQ11" s="7"/>
      <c r="DR11" s="7"/>
      <c r="DS11" s="7"/>
      <c r="DT11" s="78" t="e">
        <f t="shared" ca="1" si="22"/>
        <v>#VALUE!</v>
      </c>
      <c r="DU11" s="78" t="e">
        <f ca="1">_xlfn.RRI(DU$2,$H11,CO11+$DO11*$DT$2+SUM($DP11:DP11))</f>
        <v>#VALUE!</v>
      </c>
      <c r="DV11" s="6" t="e">
        <f ca="1">_xlfn.RRI(DV$2,$H11,CP11+$DO11*$DT$2+SUM($DP11:DQ11))</f>
        <v>#VALUE!</v>
      </c>
      <c r="DW11" s="6" t="e">
        <f ca="1">_xlfn.RRI(DW$2,$H11,CQ11+$DO11*$DT$2+SUM($DP11:DR11))</f>
        <v>#VALUE!</v>
      </c>
      <c r="DX11" s="171" t="e">
        <f ca="1">SUM(CN11,$DO11:DO11)/$H11</f>
        <v>#VALUE!</v>
      </c>
      <c r="DY11" s="132" t="e">
        <f ca="1">SUM(CO11,$DO11:DP11)/$H11</f>
        <v>#VALUE!</v>
      </c>
      <c r="DZ11" s="132" t="e">
        <f ca="1">SUM(CP11,$DO11:DQ11)/$H11</f>
        <v>#VALUE!</v>
      </c>
      <c r="EA11" s="132" t="e">
        <f ca="1">SUM(CQ11,$DO11:DR11)/$H11</f>
        <v>#VALUE!</v>
      </c>
      <c r="EB11" s="78" cm="1">
        <f t="array" ref="EB11">_xll.BDP(""&amp;$B11&amp;"","CHG_PCT_1M")/100</f>
        <v>-9.4176300000000004E-2</v>
      </c>
      <c r="EC11" s="6" cm="1">
        <f t="array" ref="EC11">_xll.BDP(""&amp;$B11&amp;"","CHG_PCT_3M")/100</f>
        <v>0.15848219999999999</v>
      </c>
      <c r="ED11" s="194" cm="1">
        <f t="array" ref="ED11">_xll.BDP(""&amp;$B11&amp;"","CHG_PCT_6M")/100</f>
        <v>8.8633260000000005E-2</v>
      </c>
      <c r="EE11" s="363">
        <f t="shared" ca="1" si="23"/>
        <v>0.11850465383549613</v>
      </c>
      <c r="EF11" s="175">
        <f t="shared" ca="1" si="24"/>
        <v>0.12054216661707517</v>
      </c>
      <c r="EG11" s="363">
        <f t="shared" ca="1" si="25"/>
        <v>0.23904682045257131</v>
      </c>
      <c r="EH11" s="6">
        <f t="shared" ca="1" si="26"/>
        <v>2.8682545322984643E-2</v>
      </c>
      <c r="EI11" s="363">
        <f t="shared" ref="EI11:EI15" ca="1" si="41">ER11+EQ11</f>
        <v>0.26772936577555595</v>
      </c>
      <c r="EJ11" s="6" t="e">
        <f t="shared" ref="EJ11:EJ15" ca="1" si="42">EK11-EI11</f>
        <v>#VALUE!</v>
      </c>
      <c r="EK11" s="194" t="e">
        <f t="shared" ca="1" si="27"/>
        <v>#VALUE!</v>
      </c>
      <c r="EL11" s="6">
        <f t="shared" si="28"/>
        <v>0.15931400871430323</v>
      </c>
      <c r="EM11" s="194">
        <f t="shared" si="29"/>
        <v>0.27456183533810763</v>
      </c>
      <c r="EN11" s="163" cm="1">
        <f t="array" ref="EN11">_xll.BDP(B11,"AVG_DAILY_VALUE_TRADED_3M")/10^6</f>
        <v>10871.717887999999</v>
      </c>
      <c r="EQ11" s="361">
        <f t="shared" ca="1" si="35"/>
        <v>0</v>
      </c>
      <c r="ER11" s="361">
        <f t="shared" ca="1" si="30"/>
        <v>0.26772936577555595</v>
      </c>
      <c r="ES11" s="127">
        <f t="shared" ca="1" si="31"/>
        <v>2.8682545322984643E-2</v>
      </c>
      <c r="EU11" s="361" t="e">
        <f t="shared" ca="1" si="32"/>
        <v>#VALUE!</v>
      </c>
      <c r="EV11" s="127" t="e">
        <f t="shared" ca="1" si="36"/>
        <v>#VALUE!</v>
      </c>
      <c r="EX11" s="358">
        <v>7.3668545109612813</v>
      </c>
      <c r="EY11" s="358">
        <v>9.5410879709976051</v>
      </c>
      <c r="EZ11" s="358">
        <v>11.932649943025028</v>
      </c>
      <c r="FA11" s="358">
        <v>14.251233060689989</v>
      </c>
      <c r="FB11" s="351">
        <f>BC11/EX11-1</f>
        <v>1.6036555219223203E-4</v>
      </c>
      <c r="FC11" s="351">
        <f>BD11/EY11-1</f>
        <v>-3.032775669457477E-3</v>
      </c>
      <c r="FD11" s="351">
        <f>BE11/EZ11-1</f>
        <v>2.6772975493477125E-2</v>
      </c>
      <c r="FE11" s="351">
        <f>BF11/FA11-1</f>
        <v>7.048853695608015E-2</v>
      </c>
      <c r="FF11" s="296">
        <v>0.2</v>
      </c>
      <c r="FG11" s="296">
        <v>-0.1</v>
      </c>
      <c r="FH11" s="295">
        <f>FF11-FG11</f>
        <v>0.30000000000000004</v>
      </c>
      <c r="FI11" s="298">
        <f>FT11/CF11-1</f>
        <v>0.26923076923076916</v>
      </c>
      <c r="FJ11" s="298">
        <f>FU11/CF11-1</f>
        <v>-0.23076923076923073</v>
      </c>
      <c r="FK11" s="295">
        <f>FI11-FJ11</f>
        <v>0.49999999999999989</v>
      </c>
      <c r="FL11" s="15">
        <f>FF11+FG11</f>
        <v>0.1</v>
      </c>
      <c r="FM11" s="15">
        <f>FJ11+FI11</f>
        <v>3.8461538461538436E-2</v>
      </c>
      <c r="FN11" s="15" t="e">
        <f ca="1">EK11+FF11/3+FI11/3</f>
        <v>#VALUE!</v>
      </c>
      <c r="FO11" s="15" t="e">
        <f ca="1">EK11+FG11/3+FJ11/3</f>
        <v>#VALUE!</v>
      </c>
      <c r="FP11" s="300" t="e">
        <f ca="1">EK11+FL11/3+FM11/3</f>
        <v>#VALUE!</v>
      </c>
      <c r="FQ11" s="15" t="e">
        <f ca="1">EK11</f>
        <v>#VALUE!</v>
      </c>
      <c r="FR11" s="300" t="e">
        <f ca="1">FP11-FQ11</f>
        <v>#VALUE!</v>
      </c>
      <c r="FS11" s="15" t="e">
        <f ca="1">FN11-FO11</f>
        <v>#VALUE!</v>
      </c>
      <c r="FT11" s="294">
        <v>33</v>
      </c>
      <c r="FU11" s="294">
        <v>20</v>
      </c>
    </row>
    <row r="12" spans="2:178" collapsed="1" x14ac:dyDescent="0.25">
      <c r="B12" s="10" t="s">
        <v>237</v>
      </c>
      <c r="C12" s="10"/>
      <c r="D12" s="38" t="s">
        <v>248</v>
      </c>
      <c r="E12" s="392"/>
      <c r="F12" s="393">
        <v>46140</v>
      </c>
      <c r="G12" s="394"/>
      <c r="H12" s="423" t="str" cm="1">
        <f t="array" aca="1" ref="H12" ca="1">_xll.BQL($B12, "px_last", "dates=" &amp; _xll.BQL.DATE($D$2))</f>
        <v>#N/A Connection</v>
      </c>
      <c r="I12" s="396">
        <v>25930</v>
      </c>
      <c r="J12" s="355">
        <v>-3192142.338</v>
      </c>
      <c r="K12" s="424">
        <v>1036072.4090000001</v>
      </c>
      <c r="L12" s="396"/>
      <c r="M12" s="76">
        <f>K12+J12</f>
        <v>-2156069.929</v>
      </c>
      <c r="N12" s="76" t="e">
        <f ca="1">I12*H12+M12+L12</f>
        <v>#VALUE!</v>
      </c>
      <c r="O12" s="396">
        <v>2263891.2920000004</v>
      </c>
      <c r="P12" s="396">
        <v>2161735.841</v>
      </c>
      <c r="Q12" s="396">
        <v>2894307.699</v>
      </c>
      <c r="R12" s="396">
        <v>3809054.2720000003</v>
      </c>
      <c r="S12" s="396">
        <v>5039894.5114200003</v>
      </c>
      <c r="T12" s="396">
        <v>6594728.4505037507</v>
      </c>
      <c r="U12" s="396">
        <v>8633128.6523939371</v>
      </c>
      <c r="V12" s="396">
        <v>10355420.635415616</v>
      </c>
      <c r="W12" s="396">
        <v>12283063.276592026</v>
      </c>
      <c r="X12" s="4">
        <f t="shared" ref="X12:AF12" si="43">AG12/O12</f>
        <v>0.59559167472604935</v>
      </c>
      <c r="Y12" s="4">
        <f t="shared" si="43"/>
        <v>0.54359584816635331</v>
      </c>
      <c r="Z12" s="4">
        <f t="shared" si="43"/>
        <v>0.5612235231800764</v>
      </c>
      <c r="AA12" s="4">
        <f t="shared" si="43"/>
        <v>0.59891348773095132</v>
      </c>
      <c r="AB12" s="4">
        <f t="shared" si="43"/>
        <v>0.66920043758926462</v>
      </c>
      <c r="AC12" s="4">
        <f t="shared" si="43"/>
        <v>0.66322767698730067</v>
      </c>
      <c r="AD12" s="4">
        <f t="shared" si="43"/>
        <v>0.65343679209090744</v>
      </c>
      <c r="AE12" s="4">
        <f t="shared" si="43"/>
        <v>0.62939630823899906</v>
      </c>
      <c r="AF12" s="4">
        <f t="shared" si="43"/>
        <v>0.61454738924193786</v>
      </c>
      <c r="AG12" s="417">
        <v>1348354.8059999999</v>
      </c>
      <c r="AH12" s="417">
        <v>1175110.628</v>
      </c>
      <c r="AI12" s="417">
        <v>1624353.564</v>
      </c>
      <c r="AJ12" s="417">
        <v>2281293.9789999998</v>
      </c>
      <c r="AK12" s="417">
        <v>3372699.6124459971</v>
      </c>
      <c r="AL12" s="417">
        <v>4373806.4305896638</v>
      </c>
      <c r="AM12" s="417">
        <v>5641203.8923283927</v>
      </c>
      <c r="AN12" s="417">
        <v>6517663.5181925381</v>
      </c>
      <c r="AO12" s="417">
        <v>7548524.4685231522</v>
      </c>
      <c r="AP12" s="425">
        <v>39.204375371205984</v>
      </c>
      <c r="AQ12" s="425">
        <v>32.338218365536655</v>
      </c>
      <c r="AR12" s="425">
        <v>45.2475010798303</v>
      </c>
      <c r="AS12" s="425">
        <v>66.248221318113451</v>
      </c>
      <c r="AT12" s="425">
        <v>94.048579854356262</v>
      </c>
      <c r="AU12" s="425">
        <v>122.02140668834727</v>
      </c>
      <c r="AV12" s="425">
        <v>157.55569763153804</v>
      </c>
      <c r="AW12" s="425">
        <v>182.32035540343171</v>
      </c>
      <c r="AX12" s="425">
        <v>211.90932030790955</v>
      </c>
      <c r="AY12" s="418">
        <f t="shared" ref="AY12:BG12" si="44">AP12</f>
        <v>39.204375371205984</v>
      </c>
      <c r="AZ12" s="418">
        <f t="shared" si="44"/>
        <v>32.338218365536655</v>
      </c>
      <c r="BA12" s="418">
        <f t="shared" si="44"/>
        <v>45.2475010798303</v>
      </c>
      <c r="BB12" s="418">
        <f t="shared" si="44"/>
        <v>66.248221318113451</v>
      </c>
      <c r="BC12" s="418">
        <f t="shared" si="44"/>
        <v>94.048579854356262</v>
      </c>
      <c r="BD12" s="418">
        <f t="shared" si="44"/>
        <v>122.02140668834727</v>
      </c>
      <c r="BE12" s="418">
        <f t="shared" si="44"/>
        <v>157.55569763153804</v>
      </c>
      <c r="BF12" s="418">
        <f t="shared" si="44"/>
        <v>182.32035540343171</v>
      </c>
      <c r="BG12" s="418">
        <f t="shared" si="44"/>
        <v>211.90932030790955</v>
      </c>
      <c r="BH12" s="400" t="e">
        <f t="shared" ref="BH12:BN13" ca="1" si="45">$N12/Q12</f>
        <v>#VALUE!</v>
      </c>
      <c r="BI12" s="400" t="e">
        <f t="shared" ca="1" si="45"/>
        <v>#VALUE!</v>
      </c>
      <c r="BJ12" s="400" t="e">
        <f t="shared" ca="1" si="45"/>
        <v>#VALUE!</v>
      </c>
      <c r="BK12" s="400" t="e">
        <f t="shared" ca="1" si="45"/>
        <v>#VALUE!</v>
      </c>
      <c r="BL12" s="400" t="e">
        <f t="shared" ca="1" si="45"/>
        <v>#VALUE!</v>
      </c>
      <c r="BM12" s="400" t="e">
        <f t="shared" ca="1" si="45"/>
        <v>#VALUE!</v>
      </c>
      <c r="BN12" s="400" t="e">
        <f t="shared" ca="1" si="45"/>
        <v>#VALUE!</v>
      </c>
      <c r="BO12" s="400" t="e">
        <f t="shared" ref="BO12:BS13" ca="1" si="46">$N12/AK12</f>
        <v>#VALUE!</v>
      </c>
      <c r="BP12" s="400" t="e">
        <f t="shared" ca="1" si="46"/>
        <v>#VALUE!</v>
      </c>
      <c r="BQ12" s="400" t="e">
        <f t="shared" ca="1" si="46"/>
        <v>#VALUE!</v>
      </c>
      <c r="BR12" s="400" t="e">
        <f t="shared" ca="1" si="46"/>
        <v>#VALUE!</v>
      </c>
      <c r="BS12" s="400" t="e">
        <f t="shared" ca="1" si="46"/>
        <v>#VALUE!</v>
      </c>
      <c r="BT12" s="400" t="e">
        <f t="shared" ref="BT12:BX13" ca="1" si="47">$H12/AT12</f>
        <v>#VALUE!</v>
      </c>
      <c r="BU12" s="400" t="e">
        <f t="shared" ca="1" si="47"/>
        <v>#VALUE!</v>
      </c>
      <c r="BV12" s="400" t="e">
        <f t="shared" ca="1" si="47"/>
        <v>#VALUE!</v>
      </c>
      <c r="BW12" s="400" t="e">
        <f t="shared" ca="1" si="47"/>
        <v>#VALUE!</v>
      </c>
      <c r="BX12" s="400" t="e">
        <f t="shared" ca="1" si="47"/>
        <v>#VALUE!</v>
      </c>
      <c r="BY12" s="8" t="e">
        <f t="shared" ref="BY12:CC13" ca="1" si="48">$H12/BC12</f>
        <v>#VALUE!</v>
      </c>
      <c r="BZ12" s="400" t="e">
        <f t="shared" ca="1" si="48"/>
        <v>#VALUE!</v>
      </c>
      <c r="CA12" s="400" t="e">
        <f t="shared" ca="1" si="48"/>
        <v>#VALUE!</v>
      </c>
      <c r="CB12" s="400" t="e">
        <f t="shared" ca="1" si="48"/>
        <v>#VALUE!</v>
      </c>
      <c r="CC12" s="400" t="e">
        <f t="shared" ca="1" si="48"/>
        <v>#VALUE!</v>
      </c>
      <c r="CD12" s="12">
        <v>20</v>
      </c>
      <c r="CE12" s="168">
        <v>20</v>
      </c>
      <c r="CF12" s="82">
        <v>20</v>
      </c>
      <c r="CG12" s="82">
        <v>20</v>
      </c>
      <c r="CH12" s="82">
        <v>18</v>
      </c>
      <c r="CI12" s="46"/>
      <c r="CJ12" s="46"/>
      <c r="CK12" s="46"/>
      <c r="CL12" s="46"/>
      <c r="CM12" s="46"/>
      <c r="CN12" s="356">
        <f>CD12*BD12+CS12</f>
        <v>2558.1659564813117</v>
      </c>
      <c r="CO12" s="356">
        <f>CE12*BE12+CT12</f>
        <v>3322.476907182705</v>
      </c>
      <c r="CP12" s="356">
        <f>CF12*BF12+CU12</f>
        <v>3888.5980561860647</v>
      </c>
      <c r="CQ12" s="356">
        <f>CG12*BG12+CV12</f>
        <v>4566.6876637116075</v>
      </c>
      <c r="CR12" s="7"/>
      <c r="CS12" s="357">
        <v>117.73782271436647</v>
      </c>
      <c r="CT12" s="357">
        <v>171.36295455194426</v>
      </c>
      <c r="CU12" s="357">
        <v>242.19094811743076</v>
      </c>
      <c r="CV12" s="357">
        <v>328.50125755341639</v>
      </c>
      <c r="CW12" s="357">
        <v>431.59469101139479</v>
      </c>
      <c r="CX12" s="41"/>
      <c r="CY12" s="41"/>
      <c r="CZ12" s="41"/>
      <c r="DA12" s="41"/>
      <c r="DB12" s="19"/>
      <c r="DC12" s="40">
        <v>25931</v>
      </c>
      <c r="DD12" s="40">
        <v>25931</v>
      </c>
      <c r="DE12" s="40">
        <v>25931</v>
      </c>
      <c r="DF12" s="40">
        <v>25931</v>
      </c>
      <c r="DG12" s="40">
        <v>25931</v>
      </c>
      <c r="DH12" s="40"/>
      <c r="DI12" s="40"/>
      <c r="DJ12" s="40"/>
      <c r="DK12" s="40"/>
      <c r="DL12" s="40"/>
      <c r="DM12" s="7"/>
      <c r="DN12" s="7"/>
      <c r="DO12" s="357">
        <v>22.501021894643479</v>
      </c>
      <c r="DP12" s="357">
        <v>28.126277368304351</v>
      </c>
      <c r="DQ12" s="357">
        <v>35.15784671038044</v>
      </c>
      <c r="DR12" s="357">
        <v>43.947308387975554</v>
      </c>
      <c r="DS12" s="357">
        <v>54.934135484969445</v>
      </c>
      <c r="DT12" s="78" t="e">
        <f ca="1">_xlfn.RRI(DT$2,$H12,CN12+$DO12*$DT$2)</f>
        <v>#VALUE!</v>
      </c>
      <c r="DU12" s="78" t="e">
        <f ca="1">_xlfn.RRI(DU$2,$H12,CO12+$DO12*$DT$2+SUM($DP12:DP12))</f>
        <v>#VALUE!</v>
      </c>
      <c r="DV12" s="6" t="e">
        <f ca="1">_xlfn.RRI(DV$2,$H12,CP12+$DO12*$DT$2+SUM($DP12:DQ12))</f>
        <v>#VALUE!</v>
      </c>
      <c r="DW12" s="6" t="e">
        <f ca="1">_xlfn.RRI(DW$2,$H12,CQ12+$DO12*$DT$2+SUM($DP12:DR12))</f>
        <v>#VALUE!</v>
      </c>
      <c r="DX12" s="171" t="e">
        <f ca="1">SUM(CN12,$DO12:DO12)/$H12</f>
        <v>#VALUE!</v>
      </c>
      <c r="DY12" s="132" t="e">
        <f ca="1">SUM(CO12,$DO12:DP12)/$H12</f>
        <v>#VALUE!</v>
      </c>
      <c r="DZ12" s="132" t="e">
        <f ca="1">SUM(CP12,$DO12:DQ12)/$H12</f>
        <v>#VALUE!</v>
      </c>
      <c r="EA12" s="132" t="e">
        <f ca="1">SUM(CQ12,$DO12:DR12)/$H12</f>
        <v>#VALUE!</v>
      </c>
      <c r="EB12" s="78" cm="1">
        <f t="array" ref="EB12">_xll.BDP(""&amp;$B12&amp;"","CHG_PCT_1M")/100</f>
        <v>2.1834060000000001E-3</v>
      </c>
      <c r="EC12" s="6" cm="1">
        <f t="array" ref="EC12">_xll.BDP(""&amp;$B12&amp;"","CHG_PCT_3M")/100</f>
        <v>0.2142857</v>
      </c>
      <c r="ED12" s="194" cm="1">
        <f t="array" ref="ED12">_xll.BDP(""&amp;$B12&amp;"","CHG_PCT_6M")/100</f>
        <v>0.53511710000000001</v>
      </c>
      <c r="EE12" s="363">
        <f ca="1">_xlfn.RRI(2+$DT$2,$DT$2*S12+(1-$DT$2)*T12,V12)</f>
        <v>0.26056546851008844</v>
      </c>
      <c r="EF12" s="175">
        <f ca="1">EG12-EE12</f>
        <v>-2.6255940047898996E-2</v>
      </c>
      <c r="EG12" s="363">
        <f ca="1">_xlfn.RRI(2+$DT$2,$DT$2*(BC12*DC12)+(1-$DT$2)*(BD12*DD12),(BF12*DF12))</f>
        <v>0.23430952846218944</v>
      </c>
      <c r="EH12" s="6" t="e">
        <f ca="1">EI12-EG12</f>
        <v>#VALUE!</v>
      </c>
      <c r="EI12" s="363" t="e">
        <f ca="1">ER12+EQ12</f>
        <v>#VALUE!</v>
      </c>
      <c r="EJ12" s="6" t="e">
        <f ca="1">EK12-EI12</f>
        <v>#VALUE!</v>
      </c>
      <c r="EK12" s="194" t="e">
        <f ca="1">DV12</f>
        <v>#VALUE!</v>
      </c>
      <c r="EL12" s="6">
        <f>_xlfn.RRI(3,AK12,AN12)</f>
        <v>0.24557942093788609</v>
      </c>
      <c r="EM12" s="194">
        <f>_xlfn.RRI(3,BC12,BF12)</f>
        <v>0.24688855578839775</v>
      </c>
      <c r="EN12" s="163" cm="1">
        <f t="array" ref="EN12">_xll.BDP(B12,"AVG_DAILY_VALUE_TRADED_3M")/10^6</f>
        <v>88790.61</v>
      </c>
      <c r="EQ12" s="372" t="e">
        <f ca="1">CU12/H12/$DV$2</f>
        <v>#VALUE!</v>
      </c>
      <c r="ER12" s="361">
        <f ca="1">_xlfn.RRI(2+$DT$2,$DT$2*(BC12)+(1-$DT$2)*(BD12),(BF12))</f>
        <v>0.23430952846218944</v>
      </c>
      <c r="ES12" s="127" t="e">
        <f ca="1">ER12-EG12+EQ12</f>
        <v>#VALUE!</v>
      </c>
      <c r="EU12" s="361" t="e">
        <f ca="1">_xlfn.RRI(2+$DT$2,($DT$2*BY12+(1-$DT$2)*BZ12),CF12)</f>
        <v>#VALUE!</v>
      </c>
      <c r="EV12" s="127" t="e">
        <f ca="1">EJ12-EU12</f>
        <v>#VALUE!</v>
      </c>
      <c r="EX12" s="292"/>
      <c r="EY12" s="292"/>
      <c r="EZ12" s="292"/>
      <c r="FA12" s="292"/>
      <c r="FB12" s="292"/>
      <c r="FC12" s="292"/>
      <c r="FD12" s="292"/>
      <c r="FE12" s="292"/>
      <c r="FF12" s="296"/>
      <c r="FG12" s="296"/>
      <c r="FH12" s="295"/>
      <c r="FI12" s="298"/>
      <c r="FJ12" s="298"/>
      <c r="FK12" s="295"/>
      <c r="FL12" s="15"/>
      <c r="FM12" s="15"/>
      <c r="FN12" s="15" t="s">
        <v>98</v>
      </c>
      <c r="FO12" s="15" t="s">
        <v>98</v>
      </c>
      <c r="FP12" s="15" t="s">
        <v>98</v>
      </c>
      <c r="FQ12" s="15" t="s">
        <v>98</v>
      </c>
      <c r="FR12" s="15" t="s">
        <v>98</v>
      </c>
      <c r="FS12" s="15" t="s">
        <v>98</v>
      </c>
      <c r="FT12" s="294"/>
      <c r="FU12" s="294"/>
    </row>
    <row r="13" spans="2:178" x14ac:dyDescent="0.25">
      <c r="B13" s="10" t="s">
        <v>182</v>
      </c>
      <c r="C13" s="321"/>
      <c r="D13" s="38" t="s">
        <v>150</v>
      </c>
      <c r="E13" s="291">
        <v>2</v>
      </c>
      <c r="F13" s="393">
        <v>46120</v>
      </c>
      <c r="G13" s="394"/>
      <c r="H13" s="395" t="str" cm="1">
        <f t="array" aca="1" ref="H13" ca="1">_xll.BQL($B13, "px_last", "dates=" &amp; _xll.BQL.DATE($D$2))</f>
        <v>#N/A Connection</v>
      </c>
      <c r="I13" s="25">
        <v>12230</v>
      </c>
      <c r="J13" s="25">
        <v>-126843</v>
      </c>
      <c r="K13" s="2">
        <v>66967</v>
      </c>
      <c r="L13" s="2"/>
      <c r="M13" s="80">
        <f>K13+J13</f>
        <v>-59876</v>
      </c>
      <c r="N13" s="184" t="e">
        <f ca="1">I13*H13+M13+L13</f>
        <v>#VALUE!</v>
      </c>
      <c r="O13" s="396">
        <v>282836</v>
      </c>
      <c r="P13" s="396">
        <v>307394</v>
      </c>
      <c r="Q13" s="396">
        <v>350018</v>
      </c>
      <c r="R13" s="396">
        <v>402836</v>
      </c>
      <c r="S13" s="396">
        <v>474201.18717150099</v>
      </c>
      <c r="T13" s="396">
        <v>547000.06537704926</v>
      </c>
      <c r="U13" s="396">
        <v>627861.63469972694</v>
      </c>
      <c r="V13" s="396">
        <v>715818.21273059095</v>
      </c>
      <c r="W13" s="396">
        <v>803490.67715293309</v>
      </c>
      <c r="X13" s="4">
        <f t="shared" ref="X13:AF13" si="49">AG13/O13</f>
        <v>0.55379442503783116</v>
      </c>
      <c r="Y13" s="4">
        <f t="shared" si="49"/>
        <v>0.56625047984020505</v>
      </c>
      <c r="Z13" s="4">
        <f t="shared" si="49"/>
        <v>0.58200435406179107</v>
      </c>
      <c r="AA13" s="4">
        <f t="shared" si="49"/>
        <v>0.59652315086039975</v>
      </c>
      <c r="AB13" s="4">
        <f t="shared" si="49"/>
        <v>0.60130016647638762</v>
      </c>
      <c r="AC13" s="4">
        <f t="shared" si="49"/>
        <v>0.60309318982370008</v>
      </c>
      <c r="AD13" s="4">
        <f t="shared" si="49"/>
        <v>0.6068193443567802</v>
      </c>
      <c r="AE13" s="4">
        <f t="shared" si="49"/>
        <v>0.61614805858682919</v>
      </c>
      <c r="AF13" s="4">
        <f t="shared" si="49"/>
        <v>0.62285470638040685</v>
      </c>
      <c r="AG13" s="397">
        <v>156633</v>
      </c>
      <c r="AH13" s="397">
        <v>174062</v>
      </c>
      <c r="AI13" s="397">
        <v>203712</v>
      </c>
      <c r="AJ13" s="397">
        <v>240301</v>
      </c>
      <c r="AK13" s="397">
        <v>285137.25278952421</v>
      </c>
      <c r="AL13" s="397">
        <v>329892.01426201715</v>
      </c>
      <c r="AM13" s="397">
        <v>380998.58551526454</v>
      </c>
      <c r="AN13" s="397">
        <v>441050.00207504752</v>
      </c>
      <c r="AO13" s="397">
        <v>500457.94979748444</v>
      </c>
      <c r="AP13" s="398">
        <v>4.5574891709096432</v>
      </c>
      <c r="AQ13" s="398">
        <v>5.800581669548813</v>
      </c>
      <c r="AR13" s="398">
        <v>8.0435446292279256</v>
      </c>
      <c r="AS13" s="398">
        <v>10.807031888798038</v>
      </c>
      <c r="AT13" s="398">
        <v>10.430842612585375</v>
      </c>
      <c r="AU13" s="398">
        <v>12.047232794126748</v>
      </c>
      <c r="AV13" s="398">
        <v>14.17434089422596</v>
      </c>
      <c r="AW13" s="399">
        <v>17.360857136679424</v>
      </c>
      <c r="AX13" s="399">
        <v>20.696307532016668</v>
      </c>
      <c r="AY13" s="398">
        <v>4.9626111406641842</v>
      </c>
      <c r="AZ13" s="398">
        <v>5.9682439867945289</v>
      </c>
      <c r="BA13" s="398">
        <v>7.7855708202779788</v>
      </c>
      <c r="BB13" s="398">
        <v>8.6659035159443984</v>
      </c>
      <c r="BC13" s="398">
        <v>10.430842612585376</v>
      </c>
      <c r="BD13" s="398">
        <v>12.047232794126749</v>
      </c>
      <c r="BE13" s="398">
        <v>14.17434089422596</v>
      </c>
      <c r="BF13" s="399">
        <v>17.360857136679428</v>
      </c>
      <c r="BG13" s="399">
        <v>20.696307532016672</v>
      </c>
      <c r="BH13" s="400" t="e">
        <f t="shared" ca="1" si="45"/>
        <v>#VALUE!</v>
      </c>
      <c r="BI13" s="400" t="e">
        <f t="shared" ca="1" si="45"/>
        <v>#VALUE!</v>
      </c>
      <c r="BJ13" s="400" t="e">
        <f t="shared" ca="1" si="45"/>
        <v>#VALUE!</v>
      </c>
      <c r="BK13" s="400" t="e">
        <f t="shared" ca="1" si="45"/>
        <v>#VALUE!</v>
      </c>
      <c r="BL13" s="400" t="e">
        <f t="shared" ca="1" si="45"/>
        <v>#VALUE!</v>
      </c>
      <c r="BM13" s="400" t="e">
        <f t="shared" ca="1" si="45"/>
        <v>#VALUE!</v>
      </c>
      <c r="BN13" s="400" t="e">
        <f t="shared" ca="1" si="45"/>
        <v>#VALUE!</v>
      </c>
      <c r="BO13" s="422" t="e">
        <f t="shared" ca="1" si="46"/>
        <v>#VALUE!</v>
      </c>
      <c r="BP13" s="400" t="e">
        <f t="shared" ca="1" si="46"/>
        <v>#VALUE!</v>
      </c>
      <c r="BQ13" s="400" t="e">
        <f t="shared" ca="1" si="46"/>
        <v>#VALUE!</v>
      </c>
      <c r="BR13" s="400" t="e">
        <f t="shared" ca="1" si="46"/>
        <v>#VALUE!</v>
      </c>
      <c r="BS13" s="400" t="e">
        <f t="shared" ca="1" si="46"/>
        <v>#VALUE!</v>
      </c>
      <c r="BT13" s="400" t="e">
        <f t="shared" ca="1" si="47"/>
        <v>#VALUE!</v>
      </c>
      <c r="BU13" s="400" t="e">
        <f t="shared" ca="1" si="47"/>
        <v>#VALUE!</v>
      </c>
      <c r="BV13" s="400" t="e">
        <f t="shared" ca="1" si="47"/>
        <v>#VALUE!</v>
      </c>
      <c r="BW13" s="400" t="e">
        <f t="shared" ca="1" si="47"/>
        <v>#VALUE!</v>
      </c>
      <c r="BX13" s="400" t="e">
        <f t="shared" ca="1" si="47"/>
        <v>#VALUE!</v>
      </c>
      <c r="BY13" s="8" t="e">
        <f t="shared" ca="1" si="48"/>
        <v>#VALUE!</v>
      </c>
      <c r="BZ13" s="400" t="e">
        <f t="shared" ca="1" si="48"/>
        <v>#VALUE!</v>
      </c>
      <c r="CA13" s="400" t="e">
        <f t="shared" ca="1" si="48"/>
        <v>#VALUE!</v>
      </c>
      <c r="CB13" s="400" t="e">
        <f t="shared" ca="1" si="48"/>
        <v>#VALUE!</v>
      </c>
      <c r="CC13" s="400" t="e">
        <f t="shared" ca="1" si="48"/>
        <v>#VALUE!</v>
      </c>
      <c r="CD13" s="12">
        <v>24</v>
      </c>
      <c r="CE13" s="167">
        <v>24</v>
      </c>
      <c r="CF13" s="12">
        <v>24</v>
      </c>
      <c r="CG13" s="12">
        <v>24</v>
      </c>
      <c r="CH13" s="12">
        <v>24</v>
      </c>
      <c r="CI13" s="46"/>
      <c r="CJ13" s="46"/>
      <c r="CK13" s="46"/>
      <c r="CL13" s="46"/>
      <c r="CM13" s="46"/>
      <c r="CN13" s="136">
        <f>CD13*BD13</f>
        <v>289.13358705904199</v>
      </c>
      <c r="CO13" s="136">
        <f>CE13*BE13</f>
        <v>340.18418146142301</v>
      </c>
      <c r="CP13" s="136">
        <f>CF13*BF13</f>
        <v>416.66057128030627</v>
      </c>
      <c r="CQ13" s="136">
        <f>CG13*BG13</f>
        <v>496.71138076840009</v>
      </c>
      <c r="CR13" s="7"/>
      <c r="CS13" s="7"/>
      <c r="CT13" s="7"/>
      <c r="CU13" s="7"/>
      <c r="CV13" s="7"/>
      <c r="CW13" s="7"/>
      <c r="CX13" s="137"/>
      <c r="CY13" s="137"/>
      <c r="CZ13" s="137"/>
      <c r="DA13" s="137"/>
      <c r="DB13" s="101"/>
      <c r="DC13" s="185">
        <v>12230</v>
      </c>
      <c r="DD13" s="185">
        <v>12230</v>
      </c>
      <c r="DE13" s="185">
        <v>12155.112426872223</v>
      </c>
      <c r="DF13" s="185">
        <v>11921.289721704206</v>
      </c>
      <c r="DG13" s="185">
        <v>11635.202033606465</v>
      </c>
      <c r="DH13" s="40"/>
      <c r="DI13" s="40"/>
      <c r="DJ13" s="40"/>
      <c r="DK13" s="40"/>
      <c r="DL13" s="40"/>
      <c r="DM13" s="7"/>
      <c r="DN13" s="7"/>
      <c r="DO13" s="7">
        <v>0.83</v>
      </c>
      <c r="DP13" s="7">
        <v>0.83</v>
      </c>
      <c r="DQ13" s="7">
        <v>0.83</v>
      </c>
      <c r="DR13" s="7">
        <v>0.83</v>
      </c>
      <c r="DS13" s="7">
        <v>0.83</v>
      </c>
      <c r="DT13" s="78" t="e">
        <f ca="1">_xlfn.RRI(DT$2,$H13,CN13+$DO13*$DT$2)</f>
        <v>#VALUE!</v>
      </c>
      <c r="DU13" s="78" t="e">
        <f ca="1">_xlfn.RRI(DU$2,$H13,CO13+$DO13*$DT$2+SUM($DP13:DP13))</f>
        <v>#VALUE!</v>
      </c>
      <c r="DV13" s="6" t="e">
        <f ca="1">_xlfn.RRI(DV$2,$H13,CP13+$DO13*$DT$2+SUM($DP13:DQ13))</f>
        <v>#VALUE!</v>
      </c>
      <c r="DW13" s="6" t="e">
        <f ca="1">_xlfn.RRI(DW$2,$H13,CQ13+$DO13*$DT$2+SUM($DP13:DR13))</f>
        <v>#VALUE!</v>
      </c>
      <c r="DX13" s="172" t="e">
        <f ca="1">SUM(CN13,$DO13:DO13)/$H13</f>
        <v>#VALUE!</v>
      </c>
      <c r="DY13" s="138" t="e">
        <f ca="1">SUM(CO13,$DO13:DP13)/$H13</f>
        <v>#VALUE!</v>
      </c>
      <c r="DZ13" s="138" t="e">
        <f ca="1">SUM(CP13,$DO13:DQ13)/$H13</f>
        <v>#VALUE!</v>
      </c>
      <c r="EA13" s="138" t="e">
        <f ca="1">SUM(CQ13,$DO13:DR13)/$H13</f>
        <v>#VALUE!</v>
      </c>
      <c r="EB13" s="78" cm="1">
        <f t="array" ref="EB13">_xll.BDP(""&amp;$B13&amp;"","CHG_PCT_1M")/100</f>
        <v>-9.4119100000000011E-2</v>
      </c>
      <c r="EC13" s="6" cm="1">
        <f t="array" ref="EC13">_xll.BDP(""&amp;$B13&amp;"","CHG_PCT_3M")/100</f>
        <v>0.20576609999999998</v>
      </c>
      <c r="ED13" s="194" cm="1">
        <f t="array" ref="ED13">_xll.BDP(""&amp;$B13&amp;"","CHG_PCT_6M")/100</f>
        <v>0.14383840000000001</v>
      </c>
      <c r="EE13" s="363">
        <f ca="1">_xlfn.RRI(2+$DT$2,$DT$2*S13+(1-$DT$2)*T13,V13)</f>
        <v>0.14490368674161958</v>
      </c>
      <c r="EF13" s="175">
        <f ca="1">EG13-EE13</f>
        <v>3.24389378172667E-2</v>
      </c>
      <c r="EG13" s="363">
        <f ca="1">_xlfn.RRI(2+$DT$2,$DT$2*(BC13*DC13)+(1-$DT$2)*(BD13*DD13),(BF13*DF13))</f>
        <v>0.17734262455888627</v>
      </c>
      <c r="EH13" s="6">
        <f ca="1">EI13-EG13</f>
        <v>1.18218269844792E-2</v>
      </c>
      <c r="EI13" s="363">
        <f ca="1">ER13+EQ13</f>
        <v>0.18916445154336547</v>
      </c>
      <c r="EJ13" s="6" t="e">
        <f ca="1">EK13-EI13</f>
        <v>#VALUE!</v>
      </c>
      <c r="EK13" s="194" t="e">
        <f ca="1">DV13</f>
        <v>#VALUE!</v>
      </c>
      <c r="EL13" s="6">
        <f>_xlfn.RRI(3,AK13,AN13)</f>
        <v>0.15649729813554725</v>
      </c>
      <c r="EM13" s="194">
        <f>_xlfn.RRI(3,BC13,BF13)</f>
        <v>0.18508797187253045</v>
      </c>
      <c r="EN13" s="163" cm="1">
        <f t="array" ref="EN13">_xll.BDP(B13,"AVG_DAILY_VALUE_TRADED_3M")/10^6</f>
        <v>6855.36</v>
      </c>
      <c r="EQ13" s="361">
        <f ca="1">IFERROR(AVERAGE(DP13:DQ13)/H13,0)</f>
        <v>0</v>
      </c>
      <c r="ER13" s="361">
        <f ca="1">_xlfn.RRI(2+$DT$2,$DT$2*(BC13)+(1-$DT$2)*(BD13),(BF13))</f>
        <v>0.18916445154336547</v>
      </c>
      <c r="ES13" s="127">
        <f ca="1">ER13-EG13+EQ13</f>
        <v>1.18218269844792E-2</v>
      </c>
      <c r="EU13" s="361" t="e">
        <f ca="1">_xlfn.RRI(2+$DT$2,($DT$2*BY13+(1-$DT$2)*BZ13),CF13)</f>
        <v>#VALUE!</v>
      </c>
      <c r="EV13" s="127" t="e">
        <f ca="1">EJ13-EU13</f>
        <v>#VALUE!</v>
      </c>
      <c r="EX13" s="358">
        <v>11.031304035714703</v>
      </c>
      <c r="EY13" s="358">
        <v>14.359028550756554</v>
      </c>
      <c r="EZ13" s="358">
        <v>16.630616166907998</v>
      </c>
      <c r="FA13" s="358">
        <v>18.821076389495431</v>
      </c>
      <c r="FB13" s="351">
        <f>BC13/EX13-1</f>
        <v>-5.4432496936471564E-2</v>
      </c>
      <c r="FC13" s="351">
        <f>BD13/EY13-1</f>
        <v>-0.16099945399913562</v>
      </c>
      <c r="FD13" s="351">
        <f>BE13/EZ13-1</f>
        <v>-0.14769598720999855</v>
      </c>
      <c r="FE13" s="351">
        <f>BF13/FA13-1</f>
        <v>-7.7584258338752154E-2</v>
      </c>
      <c r="FF13" s="296">
        <v>0.2</v>
      </c>
      <c r="FG13" s="296">
        <v>-0.25</v>
      </c>
      <c r="FH13" s="295">
        <f>FF13-FG13</f>
        <v>0.45</v>
      </c>
      <c r="FI13" s="298">
        <f>FT13/CF13-1</f>
        <v>0.25</v>
      </c>
      <c r="FJ13" s="298">
        <f>FU13/CF13-1</f>
        <v>-0.25</v>
      </c>
      <c r="FK13" s="295">
        <f>FI13-FJ13</f>
        <v>0.5</v>
      </c>
      <c r="FL13" s="15">
        <f>FF13+FG13</f>
        <v>-4.9999999999999989E-2</v>
      </c>
      <c r="FM13" s="15">
        <f>FJ13+FI13</f>
        <v>0</v>
      </c>
      <c r="FN13" s="15" t="e">
        <f ca="1">EK13+FF13/3+FI13/3</f>
        <v>#VALUE!</v>
      </c>
      <c r="FO13" s="15" t="e">
        <f ca="1">EK13+FG13/3+FJ13/3</f>
        <v>#VALUE!</v>
      </c>
      <c r="FP13" s="300" t="e">
        <f ca="1">EK13+FL13/3+FM13/3</f>
        <v>#VALUE!</v>
      </c>
      <c r="FQ13" s="15" t="e">
        <f ca="1">EK13</f>
        <v>#VALUE!</v>
      </c>
      <c r="FR13" s="300" t="e">
        <f ca="1">FP13-FQ13</f>
        <v>#VALUE!</v>
      </c>
      <c r="FS13" s="15" t="e">
        <f ca="1">FN13-FO13</f>
        <v>#VALUE!</v>
      </c>
      <c r="FT13" s="294">
        <v>30</v>
      </c>
      <c r="FU13" s="294">
        <v>18</v>
      </c>
    </row>
    <row r="14" spans="2:178" x14ac:dyDescent="0.25">
      <c r="B14" s="10" t="s">
        <v>69</v>
      </c>
      <c r="C14" s="321"/>
      <c r="D14" s="38" t="s">
        <v>68</v>
      </c>
      <c r="E14" s="291">
        <v>2</v>
      </c>
      <c r="F14" s="393">
        <v>46176</v>
      </c>
      <c r="G14" s="394"/>
      <c r="H14" s="411" t="str" cm="1">
        <f t="array" aca="1" ref="H14" ca="1">_xll.BQL($B14, "px_last", "dates=" &amp; _xll.BQL.DATE($D$2))</f>
        <v>#N/A Connection</v>
      </c>
      <c r="I14" s="396">
        <v>2922</v>
      </c>
      <c r="J14" s="25">
        <v>-39132</v>
      </c>
      <c r="K14" s="396">
        <v>153117</v>
      </c>
      <c r="L14" s="396">
        <v>506</v>
      </c>
      <c r="M14" s="76">
        <f t="shared" si="0"/>
        <v>113985</v>
      </c>
      <c r="N14" s="76" t="e">
        <f t="shared" ca="1" si="1"/>
        <v>#VALUE!</v>
      </c>
      <c r="O14" s="396">
        <v>45821.3</v>
      </c>
      <c r="P14" s="396">
        <v>51307.15</v>
      </c>
      <c r="Q14" s="396">
        <v>54958.100000000006</v>
      </c>
      <c r="R14" s="396">
        <v>61719.450000000004</v>
      </c>
      <c r="S14" s="396">
        <v>75204.625</v>
      </c>
      <c r="T14" s="396">
        <v>104489.41187499999</v>
      </c>
      <c r="U14" s="396">
        <v>142360.791290625</v>
      </c>
      <c r="V14" s="396">
        <v>175595.91898579689</v>
      </c>
      <c r="W14" s="396">
        <v>205597.02615029976</v>
      </c>
      <c r="X14" s="4">
        <f t="shared" ref="X14:AF14" si="50">AG14/O14</f>
        <v>0</v>
      </c>
      <c r="Y14" s="4">
        <f t="shared" si="50"/>
        <v>0</v>
      </c>
      <c r="Z14" s="4">
        <f t="shared" si="50"/>
        <v>0</v>
      </c>
      <c r="AA14" s="4">
        <f t="shared" si="50"/>
        <v>0</v>
      </c>
      <c r="AB14" s="4">
        <f t="shared" si="50"/>
        <v>0</v>
      </c>
      <c r="AC14" s="4">
        <f t="shared" si="50"/>
        <v>0</v>
      </c>
      <c r="AD14" s="4">
        <f t="shared" si="50"/>
        <v>0</v>
      </c>
      <c r="AE14" s="4">
        <f t="shared" si="50"/>
        <v>0</v>
      </c>
      <c r="AF14" s="4">
        <f t="shared" si="50"/>
        <v>0</v>
      </c>
      <c r="AG14" s="397"/>
      <c r="AH14" s="396"/>
      <c r="AI14" s="396"/>
      <c r="AJ14" s="396"/>
      <c r="AK14" s="396"/>
      <c r="AL14" s="396"/>
      <c r="AM14" s="396"/>
      <c r="AN14" s="396"/>
      <c r="AO14" s="396"/>
      <c r="AP14" s="399">
        <v>5.0031858626880918</v>
      </c>
      <c r="AQ14" s="399">
        <v>5.3230505077981229</v>
      </c>
      <c r="AR14" s="399">
        <v>5.7745681409239582</v>
      </c>
      <c r="AS14" s="399">
        <v>6.4549349935621496</v>
      </c>
      <c r="AT14" s="399">
        <v>7.2746091470407599</v>
      </c>
      <c r="AU14" s="399">
        <v>8.8268237238792118</v>
      </c>
      <c r="AV14" s="399">
        <v>11.433058318181008</v>
      </c>
      <c r="AW14" s="399">
        <v>14.568182343531113</v>
      </c>
      <c r="AX14" s="399">
        <v>18.169251027450862</v>
      </c>
      <c r="AY14" s="399">
        <v>4.0882316083923209</v>
      </c>
      <c r="AZ14" s="399">
        <v>4.2208092128884118</v>
      </c>
      <c r="BA14" s="399">
        <v>4.5594142203471915</v>
      </c>
      <c r="BB14" s="399">
        <v>5.0951717485560586</v>
      </c>
      <c r="BC14" s="399">
        <v>5.7413934404303237</v>
      </c>
      <c r="BD14" s="399">
        <v>6.8261648616110318</v>
      </c>
      <c r="BE14" s="399">
        <v>8.8185383273543589</v>
      </c>
      <c r="BF14" s="399">
        <v>11.461698465179136</v>
      </c>
      <c r="BG14" s="399">
        <v>14.573029302207923</v>
      </c>
      <c r="BH14" s="400" t="e">
        <f t="shared" ca="1" si="3"/>
        <v>#VALUE!</v>
      </c>
      <c r="BI14" s="400" t="e">
        <f t="shared" ca="1" si="4"/>
        <v>#VALUE!</v>
      </c>
      <c r="BJ14" s="400" t="e">
        <f t="shared" ca="1" si="5"/>
        <v>#VALUE!</v>
      </c>
      <c r="BK14" s="400" t="e">
        <f t="shared" ca="1" si="6"/>
        <v>#VALUE!</v>
      </c>
      <c r="BL14" s="400" t="e">
        <f t="shared" ca="1" si="7"/>
        <v>#VALUE!</v>
      </c>
      <c r="BM14" s="400" t="e">
        <f t="shared" ca="1" si="8"/>
        <v>#VALUE!</v>
      </c>
      <c r="BN14" s="400" t="e">
        <f t="shared" ca="1" si="9"/>
        <v>#VALUE!</v>
      </c>
      <c r="BO14" s="401" t="str">
        <f ca="1">IFERROR($N14/AK14,"n/a")</f>
        <v>n/a</v>
      </c>
      <c r="BP14" s="401" t="str">
        <f ca="1">IFERROR($N14/AL14,"n/a")</f>
        <v>n/a</v>
      </c>
      <c r="BQ14" s="401" t="str">
        <f ca="1">IFERROR($N14/AM14,"n/a")</f>
        <v>n/a</v>
      </c>
      <c r="BR14" s="401" t="str">
        <f ca="1">IFERROR($N14/AN14,"n/a")</f>
        <v>n/a</v>
      </c>
      <c r="BS14" s="401" t="str">
        <f ca="1">IFERROR($N14/AO14,"n/a")</f>
        <v>n/a</v>
      </c>
      <c r="BT14" s="400" t="e">
        <f t="shared" ca="1" si="11"/>
        <v>#VALUE!</v>
      </c>
      <c r="BU14" s="400" t="e">
        <f t="shared" ca="1" si="12"/>
        <v>#VALUE!</v>
      </c>
      <c r="BV14" s="400" t="e">
        <f t="shared" ca="1" si="13"/>
        <v>#VALUE!</v>
      </c>
      <c r="BW14" s="400" t="e">
        <f t="shared" ca="1" si="14"/>
        <v>#VALUE!</v>
      </c>
      <c r="BX14" s="400" t="e">
        <f t="shared" ca="1" si="15"/>
        <v>#VALUE!</v>
      </c>
      <c r="BY14" s="8" t="e">
        <f t="shared" ca="1" si="16"/>
        <v>#VALUE!</v>
      </c>
      <c r="BZ14" s="400" t="e">
        <f t="shared" ca="1" si="17"/>
        <v>#VALUE!</v>
      </c>
      <c r="CA14" s="400" t="e">
        <f t="shared" ca="1" si="18"/>
        <v>#VALUE!</v>
      </c>
      <c r="CB14" s="400" t="e">
        <f t="shared" ca="1" si="19"/>
        <v>#VALUE!</v>
      </c>
      <c r="CC14" s="400" t="e">
        <f t="shared" ca="1" si="20"/>
        <v>#VALUE!</v>
      </c>
      <c r="CD14" s="12">
        <v>22</v>
      </c>
      <c r="CE14" s="167">
        <v>22</v>
      </c>
      <c r="CF14" s="12">
        <v>22</v>
      </c>
      <c r="CG14" s="12">
        <v>22</v>
      </c>
      <c r="CH14" s="12">
        <v>27</v>
      </c>
      <c r="CI14" s="46"/>
      <c r="CJ14" s="46"/>
      <c r="CK14" s="46"/>
      <c r="CL14" s="46"/>
      <c r="CM14" s="46"/>
      <c r="CN14" s="43">
        <f t="shared" ref="CN14:CQ14" si="51">CD14*BD14</f>
        <v>150.17562695544271</v>
      </c>
      <c r="CO14" s="43">
        <f t="shared" si="51"/>
        <v>194.00784320179591</v>
      </c>
      <c r="CP14" s="43">
        <f t="shared" si="51"/>
        <v>252.15736623394099</v>
      </c>
      <c r="CQ14" s="43">
        <f t="shared" si="51"/>
        <v>320.60664464857427</v>
      </c>
      <c r="CR14" s="7"/>
      <c r="CS14" s="7"/>
      <c r="CT14" s="7"/>
      <c r="CU14" s="7"/>
      <c r="CV14" s="7"/>
      <c r="CW14" s="7"/>
      <c r="CX14" s="41"/>
      <c r="CY14" s="41"/>
      <c r="CZ14" s="41"/>
      <c r="DA14" s="41"/>
      <c r="DB14" s="19"/>
      <c r="DC14" s="40">
        <v>2896.1304457309716</v>
      </c>
      <c r="DD14" s="40">
        <v>2996.4985227693887</v>
      </c>
      <c r="DE14" s="40">
        <v>3130.2032026903994</v>
      </c>
      <c r="DF14" s="40">
        <v>3251.6730905158456</v>
      </c>
      <c r="DG14" s="40">
        <v>3293.9439217286408</v>
      </c>
      <c r="DH14" s="40"/>
      <c r="DI14" s="40"/>
      <c r="DJ14" s="40"/>
      <c r="DK14" s="40"/>
      <c r="DL14" s="40"/>
      <c r="DM14" s="7"/>
      <c r="DN14" s="7"/>
      <c r="DO14" s="7">
        <v>2.1218485978368529</v>
      </c>
      <c r="DP14" s="7">
        <v>2.222749709990659</v>
      </c>
      <c r="DQ14" s="7">
        <v>2.617833888831214</v>
      </c>
      <c r="DR14" s="7">
        <v>2.9650543981944608</v>
      </c>
      <c r="DS14" s="7">
        <v>3.2721282029664183</v>
      </c>
      <c r="DT14" s="78" t="e">
        <f t="shared" ca="1" si="22"/>
        <v>#VALUE!</v>
      </c>
      <c r="DU14" s="78" t="e">
        <f ca="1">_xlfn.RRI(DU$2,$H14,CO14+$DO14*$DT$2+SUM($DP14:DP14))</f>
        <v>#VALUE!</v>
      </c>
      <c r="DV14" s="6" t="e">
        <f ca="1">_xlfn.RRI(DV$2,$H14,CP14+$DO14*$DT$2+SUM($DP14:DQ14))</f>
        <v>#VALUE!</v>
      </c>
      <c r="DW14" s="6" t="e">
        <f ca="1">_xlfn.RRI(DW$2,$H14,CQ14+$DO14*$DT$2+SUM($DP14:DR14))</f>
        <v>#VALUE!</v>
      </c>
      <c r="DX14" s="171" t="e">
        <f ca="1">SUM(CN14,$DO14:DO14)/$H14</f>
        <v>#VALUE!</v>
      </c>
      <c r="DY14" s="132" t="e">
        <f ca="1">SUM(CO14,$DO14:DP14)/$H14</f>
        <v>#VALUE!</v>
      </c>
      <c r="DZ14" s="132" t="e">
        <f ca="1">SUM(CP14,$DO14:DQ14)/$H14</f>
        <v>#VALUE!</v>
      </c>
      <c r="EA14" s="132" t="e">
        <f ca="1">SUM(CQ14,$DO14:DR14)/$H14</f>
        <v>#VALUE!</v>
      </c>
      <c r="EB14" s="78" cm="1">
        <f t="array" ref="EB14">_xll.BDP(""&amp;$B14&amp;"","CHG_PCT_1M")/100</f>
        <v>9.2829820000000007E-2</v>
      </c>
      <c r="EC14" s="6" cm="1">
        <f t="array" ref="EC14">_xll.BDP(""&amp;$B14&amp;"","CHG_PCT_3M")/100</f>
        <v>0.39997379999999999</v>
      </c>
      <c r="ED14" s="194" cm="1">
        <f t="array" ref="ED14">_xll.BDP(""&amp;$B14&amp;"","CHG_PCT_6M")/100</f>
        <v>-2.9019650000000001E-2</v>
      </c>
      <c r="EE14" s="363">
        <f t="shared" ca="1" si="23"/>
        <v>0.30922689351966315</v>
      </c>
      <c r="EF14" s="175">
        <f t="shared" ca="1" si="24"/>
        <v>1.0764702210745991E-2</v>
      </c>
      <c r="EG14" s="363">
        <f t="shared" ca="1" si="25"/>
        <v>0.31999159573040914</v>
      </c>
      <c r="EH14" s="6">
        <f t="shared" ca="1" si="26"/>
        <v>-5.0170898852460732E-2</v>
      </c>
      <c r="EI14" s="363">
        <f t="shared" ca="1" si="41"/>
        <v>0.26982069687794841</v>
      </c>
      <c r="EJ14" s="6" t="e">
        <f t="shared" ca="1" si="42"/>
        <v>#VALUE!</v>
      </c>
      <c r="EK14" s="194" t="e">
        <f t="shared" ca="1" si="27"/>
        <v>#VALUE!</v>
      </c>
      <c r="EL14" s="6">
        <f t="shared" si="28"/>
        <v>0</v>
      </c>
      <c r="EM14" s="194">
        <f t="shared" si="29"/>
        <v>0.25914928542572557</v>
      </c>
      <c r="EN14" s="163" cm="1">
        <f t="array" ref="EN14">_xll.BDP(B14,"AVG_DAILY_VALUE_TRADED_3M")/10^6</f>
        <v>4774.861312</v>
      </c>
      <c r="EQ14" s="361">
        <f t="shared" ca="1" si="35"/>
        <v>0</v>
      </c>
      <c r="ER14" s="361">
        <f t="shared" ca="1" si="30"/>
        <v>0.26982069687794841</v>
      </c>
      <c r="ES14" s="127">
        <f t="shared" ca="1" si="31"/>
        <v>-5.0170898852460732E-2</v>
      </c>
      <c r="EU14" s="361" t="e">
        <f t="shared" ca="1" si="32"/>
        <v>#VALUE!</v>
      </c>
      <c r="EV14" s="127" t="e">
        <f t="shared" ca="1" si="36"/>
        <v>#VALUE!</v>
      </c>
      <c r="EX14" s="292"/>
      <c r="EY14" s="292"/>
      <c r="EZ14" s="292"/>
      <c r="FA14" s="292"/>
      <c r="FB14" s="292"/>
      <c r="FC14" s="292"/>
      <c r="FD14" s="292"/>
      <c r="FE14" s="292"/>
      <c r="FF14" s="296">
        <v>0.25</v>
      </c>
      <c r="FG14" s="296">
        <v>-0.25</v>
      </c>
      <c r="FH14" s="295">
        <f>FF14-FG14</f>
        <v>0.5</v>
      </c>
      <c r="FI14" s="298">
        <f>FT14/CF14-1</f>
        <v>0.36363636363636354</v>
      </c>
      <c r="FJ14" s="298">
        <f>FU14/CF14-1</f>
        <v>-0.18181818181818177</v>
      </c>
      <c r="FK14" s="295">
        <f>FI14-FJ14</f>
        <v>0.5454545454545453</v>
      </c>
      <c r="FL14" s="15">
        <f>FF14+FG14</f>
        <v>0</v>
      </c>
      <c r="FM14" s="15">
        <f>FJ14+FI14</f>
        <v>0.18181818181818177</v>
      </c>
      <c r="FN14" s="15" t="e">
        <f ca="1">EK14+FF14/3+FI14/3</f>
        <v>#VALUE!</v>
      </c>
      <c r="FO14" s="15" t="e">
        <f ca="1">EK14+FG14/3+FJ14/3</f>
        <v>#VALUE!</v>
      </c>
      <c r="FP14" s="300" t="e">
        <f ca="1">EK14+FL14/3+FM14/3</f>
        <v>#VALUE!</v>
      </c>
      <c r="FQ14" s="15" t="e">
        <f ca="1">EK14</f>
        <v>#VALUE!</v>
      </c>
      <c r="FR14" s="300" t="e">
        <f ca="1">FP14-FQ14</f>
        <v>#VALUE!</v>
      </c>
      <c r="FS14" s="15" t="e">
        <f ca="1">FN14-FO14</f>
        <v>#VALUE!</v>
      </c>
      <c r="FT14" s="294">
        <v>30</v>
      </c>
      <c r="FU14" s="294">
        <v>18</v>
      </c>
    </row>
    <row r="15" spans="2:178" outlineLevel="1" x14ac:dyDescent="0.25">
      <c r="B15" s="10" t="s">
        <v>171</v>
      </c>
      <c r="C15" s="321"/>
      <c r="D15" s="38" t="s">
        <v>151</v>
      </c>
      <c r="E15" s="392"/>
      <c r="F15" s="393">
        <v>46119</v>
      </c>
      <c r="G15" s="394"/>
      <c r="H15" s="411" t="str" cm="1">
        <f t="array" aca="1" ref="H15" ca="1">_xll.BQL($B15, "px_last", "dates=" &amp; _xll.BQL.DATE($D$2))</f>
        <v>#N/A Connection</v>
      </c>
      <c r="I15" s="396">
        <v>23949.959191682563</v>
      </c>
      <c r="J15" s="25">
        <v>-43210</v>
      </c>
      <c r="K15" s="396">
        <v>10270</v>
      </c>
      <c r="L15" s="396"/>
      <c r="M15" s="76">
        <f t="shared" si="0"/>
        <v>-32940</v>
      </c>
      <c r="N15" s="76" t="e">
        <f t="shared" ca="1" si="1"/>
        <v>#VALUE!</v>
      </c>
      <c r="O15" s="396">
        <v>26974</v>
      </c>
      <c r="P15" s="396">
        <v>60922</v>
      </c>
      <c r="Q15" s="396">
        <v>130497</v>
      </c>
      <c r="R15" s="396">
        <v>215938</v>
      </c>
      <c r="S15" s="396">
        <v>354704.9</v>
      </c>
      <c r="T15" s="396">
        <v>400449.91938136693</v>
      </c>
      <c r="U15" s="396">
        <v>409606.62497847673</v>
      </c>
      <c r="V15" s="396">
        <v>430668.60839300056</v>
      </c>
      <c r="W15" s="396">
        <v>452513.22272124665</v>
      </c>
      <c r="X15" s="21"/>
      <c r="Y15" s="21"/>
      <c r="Z15" s="21"/>
      <c r="AA15" s="21"/>
      <c r="AB15" s="21"/>
      <c r="AC15" s="21"/>
      <c r="AD15" s="21"/>
      <c r="AE15" s="21"/>
      <c r="AF15" s="21"/>
      <c r="AG15" s="417">
        <f t="shared" ref="AG15:AO15" si="52">X15*O15</f>
        <v>0</v>
      </c>
      <c r="AH15" s="417">
        <f t="shared" si="52"/>
        <v>0</v>
      </c>
      <c r="AI15" s="417">
        <f t="shared" si="52"/>
        <v>0</v>
      </c>
      <c r="AJ15" s="417">
        <f t="shared" si="52"/>
        <v>0</v>
      </c>
      <c r="AK15" s="417">
        <f t="shared" si="52"/>
        <v>0</v>
      </c>
      <c r="AL15" s="417">
        <f t="shared" si="52"/>
        <v>0</v>
      </c>
      <c r="AM15" s="417">
        <f t="shared" si="52"/>
        <v>0</v>
      </c>
      <c r="AN15" s="417">
        <f t="shared" si="52"/>
        <v>0</v>
      </c>
      <c r="AO15" s="417">
        <f t="shared" si="52"/>
        <v>0</v>
      </c>
      <c r="AP15" s="399">
        <v>0.33370562425209416</v>
      </c>
      <c r="AQ15" s="399">
        <v>1.295589414595028</v>
      </c>
      <c r="AR15" s="399">
        <v>2.9940735365263667</v>
      </c>
      <c r="AS15" s="399">
        <v>4.8100000000000005</v>
      </c>
      <c r="AT15" s="399">
        <v>8.4278766085268888</v>
      </c>
      <c r="AU15" s="399">
        <v>9.7821150047251209</v>
      </c>
      <c r="AV15" s="399">
        <v>10.225720068532778</v>
      </c>
      <c r="AW15" s="399">
        <v>10.981352338408334</v>
      </c>
      <c r="AX15" s="399">
        <v>11.757462291622598</v>
      </c>
      <c r="AY15" s="418">
        <f t="shared" ref="AY15:BG15" si="53">AP15</f>
        <v>0.33370562425209416</v>
      </c>
      <c r="AZ15" s="418">
        <f t="shared" si="53"/>
        <v>1.295589414595028</v>
      </c>
      <c r="BA15" s="418">
        <f t="shared" si="53"/>
        <v>2.9940735365263667</v>
      </c>
      <c r="BB15" s="418">
        <f t="shared" si="53"/>
        <v>4.8100000000000005</v>
      </c>
      <c r="BC15" s="418">
        <f t="shared" si="53"/>
        <v>8.4278766085268888</v>
      </c>
      <c r="BD15" s="418">
        <f t="shared" si="53"/>
        <v>9.7821150047251209</v>
      </c>
      <c r="BE15" s="418">
        <f t="shared" si="53"/>
        <v>10.225720068532778</v>
      </c>
      <c r="BF15" s="418">
        <f t="shared" si="53"/>
        <v>10.981352338408334</v>
      </c>
      <c r="BG15" s="418">
        <f t="shared" si="53"/>
        <v>11.757462291622598</v>
      </c>
      <c r="BH15" s="400" t="e">
        <f t="shared" ca="1" si="3"/>
        <v>#VALUE!</v>
      </c>
      <c r="BI15" s="400" t="e">
        <f t="shared" ca="1" si="4"/>
        <v>#VALUE!</v>
      </c>
      <c r="BJ15" s="400" t="e">
        <f t="shared" ca="1" si="5"/>
        <v>#VALUE!</v>
      </c>
      <c r="BK15" s="400" t="e">
        <f t="shared" ca="1" si="6"/>
        <v>#VALUE!</v>
      </c>
      <c r="BL15" s="400" t="e">
        <f t="shared" ca="1" si="7"/>
        <v>#VALUE!</v>
      </c>
      <c r="BM15" s="400" t="e">
        <f t="shared" ca="1" si="8"/>
        <v>#VALUE!</v>
      </c>
      <c r="BN15" s="400" t="e">
        <f t="shared" ca="1" si="9"/>
        <v>#VALUE!</v>
      </c>
      <c r="BO15" s="401" t="s">
        <v>24</v>
      </c>
      <c r="BP15" s="401" t="s">
        <v>24</v>
      </c>
      <c r="BQ15" s="400" t="e">
        <f t="shared" ref="BQ15:BS15" ca="1" si="54">$N15/AM15</f>
        <v>#VALUE!</v>
      </c>
      <c r="BR15" s="400" t="e">
        <f t="shared" ca="1" si="54"/>
        <v>#VALUE!</v>
      </c>
      <c r="BS15" s="400" t="e">
        <f t="shared" ca="1" si="54"/>
        <v>#VALUE!</v>
      </c>
      <c r="BT15" s="400" t="e">
        <f t="shared" ca="1" si="11"/>
        <v>#VALUE!</v>
      </c>
      <c r="BU15" s="400" t="e">
        <f t="shared" ca="1" si="12"/>
        <v>#VALUE!</v>
      </c>
      <c r="BV15" s="400" t="e">
        <f t="shared" ca="1" si="13"/>
        <v>#VALUE!</v>
      </c>
      <c r="BW15" s="400" t="e">
        <f t="shared" ca="1" si="14"/>
        <v>#VALUE!</v>
      </c>
      <c r="BX15" s="400" t="e">
        <f t="shared" ca="1" si="15"/>
        <v>#VALUE!</v>
      </c>
      <c r="BY15" s="8" t="e">
        <f t="shared" ca="1" si="16"/>
        <v>#VALUE!</v>
      </c>
      <c r="BZ15" s="400" t="e">
        <f t="shared" ca="1" si="17"/>
        <v>#VALUE!</v>
      </c>
      <c r="CA15" s="400" t="e">
        <f t="shared" ca="1" si="18"/>
        <v>#VALUE!</v>
      </c>
      <c r="CB15" s="400" t="e">
        <f t="shared" ca="1" si="19"/>
        <v>#VALUE!</v>
      </c>
      <c r="CC15" s="400" t="e">
        <f t="shared" ca="1" si="20"/>
        <v>#VALUE!</v>
      </c>
      <c r="CD15" s="12">
        <v>24</v>
      </c>
      <c r="CE15" s="167">
        <v>24</v>
      </c>
      <c r="CF15" s="12">
        <v>24</v>
      </c>
      <c r="CG15" s="12">
        <v>24</v>
      </c>
      <c r="CH15" s="82">
        <v>24</v>
      </c>
      <c r="CI15" s="46"/>
      <c r="CJ15" s="46"/>
      <c r="CK15" s="46"/>
      <c r="CL15" s="46"/>
      <c r="CM15" s="46"/>
      <c r="CN15" s="43">
        <f t="shared" ref="CN15:CQ15" si="55">CD15*BD15+CS15</f>
        <v>234.7707601134029</v>
      </c>
      <c r="CO15" s="43">
        <f t="shared" si="55"/>
        <v>245.41728164478667</v>
      </c>
      <c r="CP15" s="43">
        <f t="shared" si="55"/>
        <v>263.55245612179999</v>
      </c>
      <c r="CQ15" s="43">
        <f t="shared" si="55"/>
        <v>282.17909499894233</v>
      </c>
      <c r="CR15" s="7"/>
      <c r="CS15" s="7"/>
      <c r="CT15" s="7"/>
      <c r="CU15" s="7"/>
      <c r="CV15" s="7"/>
      <c r="CW15" s="7"/>
      <c r="CX15" s="41"/>
      <c r="CY15" s="41"/>
      <c r="CZ15" s="41"/>
      <c r="DA15" s="41"/>
      <c r="DB15" s="19"/>
      <c r="DC15" s="40">
        <v>22739.183584099916</v>
      </c>
      <c r="DD15" s="40">
        <v>21525.914915016045</v>
      </c>
      <c r="DE15" s="40">
        <v>20428.256408220288</v>
      </c>
      <c r="DF15" s="40">
        <v>19409.324661193688</v>
      </c>
      <c r="DG15" s="40">
        <v>18466.077905645991</v>
      </c>
      <c r="DH15" s="40">
        <v>-32940</v>
      </c>
      <c r="DI15" s="40">
        <v>-32940</v>
      </c>
      <c r="DJ15" s="40">
        <v>-32940</v>
      </c>
      <c r="DK15" s="40">
        <v>-32940</v>
      </c>
      <c r="DL15" s="40">
        <v>-32940</v>
      </c>
      <c r="DM15" s="7"/>
      <c r="DN15" s="7"/>
      <c r="DO15" s="7">
        <v>4.4000000000000004E-2</v>
      </c>
      <c r="DP15" s="7">
        <v>4.8400000000000006E-2</v>
      </c>
      <c r="DQ15" s="7">
        <v>5.324000000000001E-2</v>
      </c>
      <c r="DR15" s="7">
        <v>5.8564000000000012E-2</v>
      </c>
      <c r="DS15" s="7">
        <v>6.4420400000000017E-2</v>
      </c>
      <c r="DT15" s="78" t="e">
        <f t="shared" ca="1" si="22"/>
        <v>#VALUE!</v>
      </c>
      <c r="DU15" s="78" t="e">
        <f ca="1">_xlfn.RRI(DU$2,$H15,CO15+$DO15*$DT$2+SUM($DP15:DP15))</f>
        <v>#VALUE!</v>
      </c>
      <c r="DV15" s="6" t="e">
        <f ca="1">_xlfn.RRI(DV$2,$H15,CP15+$DO15*$DT$2+SUM($DP15:DQ15))</f>
        <v>#VALUE!</v>
      </c>
      <c r="DW15" s="6" t="e">
        <f ca="1">_xlfn.RRI(DW$2,$H15,CQ15+$DO15*$DT$2+SUM($DP15:DR15))</f>
        <v>#VALUE!</v>
      </c>
      <c r="DX15" s="171" t="e">
        <f ca="1">SUM(CN15,$DO15:DO15)/$H15</f>
        <v>#VALUE!</v>
      </c>
      <c r="DY15" s="132" t="e">
        <f ca="1">SUM(CO15,$DO15:DP15)/$H15</f>
        <v>#VALUE!</v>
      </c>
      <c r="DZ15" s="132" t="e">
        <f ca="1">SUM(CP15,$DO15:DQ15)/$H15</f>
        <v>#VALUE!</v>
      </c>
      <c r="EA15" s="132" t="e">
        <f ca="1">SUM(CQ15,$DO15:DR15)/$H15</f>
        <v>#VALUE!</v>
      </c>
      <c r="EB15" s="78" cm="1">
        <f t="array" ref="EB15">_xll.BDP(""&amp;$B15&amp;"","CHG_PCT_1M")/100</f>
        <v>-3.0947939999999997E-2</v>
      </c>
      <c r="EC15" s="6" cm="1">
        <f t="array" ref="EC15">_xll.BDP(""&amp;$B15&amp;"","CHG_PCT_3M")/100</f>
        <v>0.17275889999999999</v>
      </c>
      <c r="ED15" s="194" cm="1">
        <f t="array" ref="ED15">_xll.BDP(""&amp;$B15&amp;"","CHG_PCT_6M")/100</f>
        <v>0.12390190000000001</v>
      </c>
      <c r="EE15" s="363">
        <f t="shared" ca="1" si="23"/>
        <v>5.5709231926995395E-2</v>
      </c>
      <c r="EF15" s="175">
        <f t="shared" ca="1" si="24"/>
        <v>-3.0511792235282442E-2</v>
      </c>
      <c r="EG15" s="363">
        <f t="shared" ca="1" si="25"/>
        <v>2.5197439691712953E-2</v>
      </c>
      <c r="EH15" s="6">
        <f t="shared" ca="1" si="26"/>
        <v>5.4481494046517032E-2</v>
      </c>
      <c r="EI15" s="363">
        <f t="shared" ca="1" si="41"/>
        <v>7.9678933738229984E-2</v>
      </c>
      <c r="EJ15" s="6" t="e">
        <f t="shared" ca="1" si="42"/>
        <v>#VALUE!</v>
      </c>
      <c r="EK15" s="194" t="e">
        <f t="shared" ca="1" si="27"/>
        <v>#VALUE!</v>
      </c>
      <c r="EL15" s="6">
        <f t="shared" si="28"/>
        <v>0</v>
      </c>
      <c r="EM15" s="194">
        <f t="shared" si="29"/>
        <v>9.2226105677069459E-2</v>
      </c>
      <c r="EN15" s="163" cm="1">
        <f t="array" ref="EN15">_xll.BDP(B15,"AVG_DAILY_VALUE_TRADED_3M")/10^6</f>
        <v>33095.847935999998</v>
      </c>
      <c r="EQ15" s="361">
        <f t="shared" ca="1" si="35"/>
        <v>0</v>
      </c>
      <c r="ER15" s="361">
        <f t="shared" ca="1" si="30"/>
        <v>7.9678933738229984E-2</v>
      </c>
      <c r="ES15" s="127">
        <f t="shared" ca="1" si="31"/>
        <v>5.4481494046517032E-2</v>
      </c>
      <c r="EU15" s="361" t="e">
        <f t="shared" ca="1" si="32"/>
        <v>#VALUE!</v>
      </c>
      <c r="EV15" s="127" t="e">
        <f t="shared" ca="1" si="36"/>
        <v>#VALUE!</v>
      </c>
      <c r="EX15" s="292"/>
      <c r="EY15" s="292"/>
      <c r="EZ15" s="292"/>
      <c r="FA15" s="292"/>
      <c r="FB15" s="292"/>
      <c r="FC15" s="292"/>
      <c r="FD15" s="292"/>
      <c r="FE15" s="292"/>
      <c r="FF15" s="296">
        <v>0.25</v>
      </c>
      <c r="FG15" s="296">
        <v>-0.25</v>
      </c>
      <c r="FH15" s="295">
        <f>FF15-FG15</f>
        <v>0.5</v>
      </c>
      <c r="FI15" s="298">
        <f>FT15/CF15-1</f>
        <v>0.25</v>
      </c>
      <c r="FJ15" s="298">
        <f>FU15/CF15-1</f>
        <v>-0.25</v>
      </c>
      <c r="FK15" s="295">
        <f>FI15-FJ15</f>
        <v>0.5</v>
      </c>
      <c r="FL15" s="15">
        <f>FF15+FG15</f>
        <v>0</v>
      </c>
      <c r="FM15" s="15">
        <f>FJ15+FI15</f>
        <v>0</v>
      </c>
      <c r="FN15" s="15" t="e">
        <f ca="1">EK15+FF15/3+FI15/3</f>
        <v>#VALUE!</v>
      </c>
      <c r="FO15" s="15" t="e">
        <f ca="1">EK15+FG15/3+FJ15/3</f>
        <v>#VALUE!</v>
      </c>
      <c r="FP15" s="300" t="e">
        <f ca="1">EK15+FL15/3+FM15/3</f>
        <v>#VALUE!</v>
      </c>
      <c r="FQ15" s="15" t="e">
        <f ca="1">EK15</f>
        <v>#VALUE!</v>
      </c>
      <c r="FR15" s="300" t="e">
        <f ca="1">FP15-FQ15</f>
        <v>#VALUE!</v>
      </c>
      <c r="FS15" s="15" t="e">
        <f ca="1">FN15-FO15</f>
        <v>#VALUE!</v>
      </c>
      <c r="FT15" s="294">
        <v>30</v>
      </c>
      <c r="FU15" s="294">
        <v>18</v>
      </c>
    </row>
    <row r="16" spans="2:178" x14ac:dyDescent="0.25">
      <c r="B16" s="10"/>
      <c r="C16" s="10"/>
      <c r="D16" s="38"/>
      <c r="E16" s="392"/>
      <c r="F16" s="413"/>
      <c r="G16" s="394"/>
      <c r="H16" s="411"/>
      <c r="I16" s="396"/>
      <c r="J16" s="25"/>
      <c r="K16" s="396"/>
      <c r="L16" s="396"/>
      <c r="M16" s="76"/>
      <c r="N16" s="76"/>
      <c r="O16" s="396"/>
      <c r="P16" s="396"/>
      <c r="Q16" s="396"/>
      <c r="R16" s="396"/>
      <c r="S16" s="396"/>
      <c r="T16" s="396"/>
      <c r="U16" s="396"/>
      <c r="V16" s="396"/>
      <c r="W16" s="396"/>
      <c r="X16" s="21"/>
      <c r="Y16" s="21"/>
      <c r="Z16" s="21"/>
      <c r="AA16" s="21"/>
      <c r="AB16" s="21"/>
      <c r="AC16" s="21"/>
      <c r="AD16" s="21"/>
      <c r="AE16" s="21"/>
      <c r="AF16" s="21"/>
      <c r="AG16" s="417"/>
      <c r="AH16" s="417"/>
      <c r="AI16" s="417"/>
      <c r="AJ16" s="417"/>
      <c r="AK16" s="417"/>
      <c r="AL16" s="417"/>
      <c r="AM16" s="417"/>
      <c r="AN16" s="417"/>
      <c r="AO16" s="417"/>
      <c r="AP16" s="399"/>
      <c r="AQ16" s="399"/>
      <c r="AR16" s="399"/>
      <c r="AS16" s="399"/>
      <c r="AT16" s="399"/>
      <c r="AU16" s="399"/>
      <c r="AV16" s="399"/>
      <c r="AW16" s="399"/>
      <c r="AX16" s="426"/>
      <c r="AY16" s="418"/>
      <c r="AZ16" s="418"/>
      <c r="BA16" s="418"/>
      <c r="BB16" s="418"/>
      <c r="BC16" s="418"/>
      <c r="BD16" s="418"/>
      <c r="BE16" s="418"/>
      <c r="BF16" s="418"/>
      <c r="BG16" s="418"/>
      <c r="BH16" s="400"/>
      <c r="BI16" s="400"/>
      <c r="BJ16" s="400"/>
      <c r="BK16" s="400"/>
      <c r="BL16" s="400"/>
      <c r="BM16" s="400"/>
      <c r="BN16" s="400"/>
      <c r="BO16" s="400"/>
      <c r="BP16" s="400"/>
      <c r="BQ16" s="400"/>
      <c r="BR16" s="400"/>
      <c r="BS16" s="400"/>
      <c r="BT16" s="400"/>
      <c r="BU16" s="400"/>
      <c r="BV16" s="400"/>
      <c r="BW16" s="400"/>
      <c r="BX16" s="400"/>
      <c r="BY16" s="8"/>
      <c r="BZ16" s="400"/>
      <c r="CA16" s="400"/>
      <c r="CB16" s="400"/>
      <c r="CC16" s="400"/>
      <c r="CD16" s="12"/>
      <c r="CE16" s="167"/>
      <c r="CF16" s="12"/>
      <c r="CG16" s="12"/>
      <c r="CH16" s="82"/>
      <c r="CI16" s="46"/>
      <c r="CJ16" s="46"/>
      <c r="CK16" s="46"/>
      <c r="CL16" s="46"/>
      <c r="CM16" s="46"/>
      <c r="CN16" s="43"/>
      <c r="CO16" s="43"/>
      <c r="CP16" s="43"/>
      <c r="CQ16" s="43"/>
      <c r="CR16" s="7"/>
      <c r="CS16" s="7"/>
      <c r="CT16" s="7"/>
      <c r="CU16" s="7"/>
      <c r="CV16" s="7"/>
      <c r="CW16" s="7"/>
      <c r="CX16" s="41"/>
      <c r="CY16" s="41"/>
      <c r="CZ16" s="41"/>
      <c r="DA16" s="41"/>
      <c r="DB16" s="19"/>
      <c r="DC16" s="40"/>
      <c r="DD16" s="198"/>
      <c r="DE16" s="198"/>
      <c r="DF16" s="198"/>
      <c r="DG16" s="198"/>
      <c r="DH16" s="40"/>
      <c r="DI16" s="40"/>
      <c r="DJ16" s="40"/>
      <c r="DK16" s="40"/>
      <c r="DL16" s="40"/>
      <c r="DM16" s="7"/>
      <c r="DN16" s="7"/>
      <c r="DO16" s="7"/>
      <c r="DP16" s="7"/>
      <c r="DQ16" s="7"/>
      <c r="DR16" s="7"/>
      <c r="DS16" s="7"/>
      <c r="DT16" s="78"/>
      <c r="DU16" s="78"/>
      <c r="DV16" s="6"/>
      <c r="DW16" s="6"/>
      <c r="DX16" s="171"/>
      <c r="DY16" s="132"/>
      <c r="DZ16" s="132"/>
      <c r="EA16" s="132"/>
      <c r="EB16" s="78"/>
      <c r="EC16" s="6"/>
      <c r="ED16" s="194"/>
      <c r="EE16" s="363"/>
      <c r="EF16" s="6"/>
      <c r="EG16" s="363"/>
      <c r="EH16" s="6"/>
      <c r="EI16" s="363"/>
      <c r="EJ16" s="6"/>
      <c r="EK16" s="194"/>
      <c r="EL16" s="6"/>
      <c r="EM16" s="194"/>
      <c r="EN16" s="163"/>
      <c r="EX16" s="292"/>
      <c r="EY16" s="292"/>
      <c r="EZ16" s="292"/>
      <c r="FA16" s="292"/>
      <c r="FB16" s="292"/>
      <c r="FC16" s="292"/>
      <c r="FD16" s="292"/>
      <c r="FE16" s="292"/>
      <c r="FF16" s="297"/>
      <c r="FG16" s="296"/>
      <c r="FI16" s="299"/>
      <c r="FJ16" s="298"/>
      <c r="FK16" s="295"/>
      <c r="FN16" s="15"/>
      <c r="FO16" s="15"/>
      <c r="FP16" s="300"/>
      <c r="FQ16" s="300"/>
      <c r="FR16" s="300"/>
      <c r="FS16" s="15"/>
    </row>
    <row r="17" spans="2:178" ht="15.75" x14ac:dyDescent="0.25">
      <c r="B17" s="10"/>
      <c r="C17" s="10"/>
      <c r="D17" s="161" t="s">
        <v>152</v>
      </c>
      <c r="E17" s="289"/>
      <c r="F17" s="413"/>
      <c r="G17" s="394"/>
      <c r="H17" s="411"/>
      <c r="I17" s="396"/>
      <c r="J17" s="25"/>
      <c r="K17" s="396"/>
      <c r="L17" s="396"/>
      <c r="M17" s="76"/>
      <c r="N17" s="76"/>
      <c r="O17" s="396"/>
      <c r="P17" s="396"/>
      <c r="Q17" s="396"/>
      <c r="R17" s="396"/>
      <c r="S17" s="396"/>
      <c r="T17" s="396"/>
      <c r="U17" s="396"/>
      <c r="V17" s="396"/>
      <c r="W17" s="396"/>
      <c r="X17" s="21"/>
      <c r="Y17" s="21"/>
      <c r="Z17" s="21"/>
      <c r="AA17" s="21"/>
      <c r="AB17" s="21"/>
      <c r="AC17" s="21"/>
      <c r="AD17" s="21"/>
      <c r="AE17" s="21"/>
      <c r="AF17" s="21"/>
      <c r="AG17" s="417"/>
      <c r="AH17" s="417"/>
      <c r="AI17" s="417"/>
      <c r="AJ17" s="417"/>
      <c r="AK17" s="417"/>
      <c r="AL17" s="417"/>
      <c r="AM17" s="417"/>
      <c r="AN17" s="417"/>
      <c r="AO17" s="417"/>
      <c r="AP17" s="399"/>
      <c r="AQ17" s="399"/>
      <c r="AR17" s="399"/>
      <c r="AS17" s="399"/>
      <c r="AT17" s="399"/>
      <c r="AU17" s="399"/>
      <c r="AV17" s="399"/>
      <c r="AW17" s="399"/>
      <c r="AX17" s="426"/>
      <c r="AY17" s="418"/>
      <c r="AZ17" s="418"/>
      <c r="BA17" s="418"/>
      <c r="BB17" s="418"/>
      <c r="BC17" s="418"/>
      <c r="BD17" s="418"/>
      <c r="BE17" s="418"/>
      <c r="BF17" s="418"/>
      <c r="BG17" s="418"/>
      <c r="BH17" s="400"/>
      <c r="BI17" s="400"/>
      <c r="BJ17" s="400"/>
      <c r="BK17" s="400"/>
      <c r="BL17" s="400"/>
      <c r="BM17" s="400"/>
      <c r="BN17" s="400"/>
      <c r="BO17" s="400"/>
      <c r="BP17" s="400"/>
      <c r="BQ17" s="400"/>
      <c r="BR17" s="400"/>
      <c r="BS17" s="400"/>
      <c r="BT17" s="400"/>
      <c r="BU17" s="400"/>
      <c r="BV17" s="400"/>
      <c r="BW17" s="400"/>
      <c r="BX17" s="400"/>
      <c r="BY17" s="8"/>
      <c r="BZ17" s="400"/>
      <c r="CA17" s="400"/>
      <c r="CB17" s="400"/>
      <c r="CC17" s="400"/>
      <c r="CD17" s="12"/>
      <c r="CE17" s="167"/>
      <c r="CF17" s="12"/>
      <c r="CG17" s="12"/>
      <c r="CH17" s="82"/>
      <c r="CI17" s="46"/>
      <c r="CJ17" s="46"/>
      <c r="CK17" s="46"/>
      <c r="CL17" s="46"/>
      <c r="CM17" s="46"/>
      <c r="CN17" s="43"/>
      <c r="CO17" s="43"/>
      <c r="CP17" s="43"/>
      <c r="CQ17" s="43"/>
      <c r="CR17" s="7"/>
      <c r="CS17" s="7"/>
      <c r="CT17" s="7"/>
      <c r="CU17" s="7"/>
      <c r="CV17" s="7"/>
      <c r="CW17" s="7"/>
      <c r="CX17" s="41"/>
      <c r="CY17" s="41"/>
      <c r="CZ17" s="41"/>
      <c r="DA17" s="41"/>
      <c r="DB17" s="19"/>
      <c r="DC17" s="40"/>
      <c r="DD17" s="198"/>
      <c r="DE17" s="198"/>
      <c r="DF17" s="198"/>
      <c r="DG17" s="198"/>
      <c r="DH17" s="40"/>
      <c r="DI17" s="40"/>
      <c r="DJ17" s="40"/>
      <c r="DK17" s="40"/>
      <c r="DL17" s="40"/>
      <c r="DM17" s="7"/>
      <c r="DN17" s="7"/>
      <c r="DO17" s="7"/>
      <c r="DP17" s="7"/>
      <c r="DQ17" s="7"/>
      <c r="DR17" s="7"/>
      <c r="DS17" s="7"/>
      <c r="DT17" s="78"/>
      <c r="DU17" s="78"/>
      <c r="DV17" s="6"/>
      <c r="DW17" s="6"/>
      <c r="DX17" s="171"/>
      <c r="DY17" s="132"/>
      <c r="DZ17" s="132"/>
      <c r="EA17" s="132"/>
      <c r="EB17" s="78"/>
      <c r="EC17" s="6"/>
      <c r="ED17" s="194"/>
      <c r="EE17" s="363"/>
      <c r="EF17" s="6"/>
      <c r="EG17" s="363"/>
      <c r="EH17" s="6"/>
      <c r="EI17" s="363"/>
      <c r="EJ17" s="6"/>
      <c r="EK17" s="194"/>
      <c r="EL17" s="6"/>
      <c r="EM17" s="194"/>
      <c r="EN17" s="163"/>
      <c r="EX17" s="292"/>
      <c r="EY17" s="292"/>
      <c r="EZ17" s="292"/>
      <c r="FA17" s="292"/>
      <c r="FB17" s="292"/>
      <c r="FC17" s="292"/>
      <c r="FD17" s="292"/>
      <c r="FE17" s="292"/>
      <c r="FF17" s="297"/>
      <c r="FG17" s="296"/>
      <c r="FI17" s="299"/>
      <c r="FJ17" s="298"/>
      <c r="FK17" s="295"/>
      <c r="FN17" s="15"/>
      <c r="FO17" s="15"/>
      <c r="FP17" s="300"/>
      <c r="FQ17" s="300"/>
      <c r="FR17" s="300"/>
      <c r="FS17" s="15"/>
    </row>
    <row r="18" spans="2:178" x14ac:dyDescent="0.25">
      <c r="B18" s="10" t="s">
        <v>90</v>
      </c>
      <c r="C18" s="10"/>
      <c r="D18" s="142" t="s">
        <v>89</v>
      </c>
      <c r="E18" s="290">
        <v>1</v>
      </c>
      <c r="F18" s="413">
        <v>45689</v>
      </c>
      <c r="G18" s="394"/>
      <c r="H18" s="411" t="str" cm="1">
        <f t="array" aca="1" ref="H18" ca="1">_xll.BQL($B18, "px_last", "dates=" &amp; _xll.BQL.DATE($D$2))</f>
        <v>#N/A Connection</v>
      </c>
      <c r="I18" s="396">
        <v>419.6</v>
      </c>
      <c r="J18" s="25">
        <v>-1633</v>
      </c>
      <c r="K18" s="396">
        <f>992.5+800</f>
        <v>1792.5</v>
      </c>
      <c r="L18" s="396"/>
      <c r="M18" s="76">
        <f>K18+J18</f>
        <v>159.5</v>
      </c>
      <c r="N18" s="76" t="e">
        <f ca="1">I18*H18+M18+L18</f>
        <v>#VALUE!</v>
      </c>
      <c r="O18" s="396">
        <v>2182.3989999999999</v>
      </c>
      <c r="P18" s="396">
        <v>2455</v>
      </c>
      <c r="Q18" s="396">
        <v>2736.2</v>
      </c>
      <c r="R18" s="396">
        <v>3247</v>
      </c>
      <c r="S18" s="396">
        <v>3843.75</v>
      </c>
      <c r="T18" s="396">
        <v>4442.3000000000011</v>
      </c>
      <c r="U18" s="396">
        <v>4976.1730000000007</v>
      </c>
      <c r="V18" s="396">
        <v>5551.3980300000012</v>
      </c>
      <c r="W18" s="396">
        <v>6162.0518133000023</v>
      </c>
      <c r="X18" s="21">
        <v>0.8</v>
      </c>
      <c r="Y18" s="21">
        <v>0.8</v>
      </c>
      <c r="Z18" s="21">
        <v>0.8</v>
      </c>
      <c r="AA18" s="21">
        <v>0.8</v>
      </c>
      <c r="AB18" s="21">
        <v>0.8</v>
      </c>
      <c r="AC18" s="21">
        <v>0.8</v>
      </c>
      <c r="AD18" s="21">
        <v>0.8</v>
      </c>
      <c r="AE18" s="21">
        <v>0.8</v>
      </c>
      <c r="AF18" s="21">
        <v>0.8</v>
      </c>
      <c r="AG18" s="417">
        <f t="shared" ref="AG18:AO18" si="56">X18*O18</f>
        <v>1745.9192</v>
      </c>
      <c r="AH18" s="417">
        <f t="shared" si="56"/>
        <v>1964</v>
      </c>
      <c r="AI18" s="417">
        <f t="shared" si="56"/>
        <v>2188.96</v>
      </c>
      <c r="AJ18" s="417">
        <f t="shared" si="56"/>
        <v>2597.6000000000004</v>
      </c>
      <c r="AK18" s="417">
        <f t="shared" si="56"/>
        <v>3075</v>
      </c>
      <c r="AL18" s="417">
        <f t="shared" si="56"/>
        <v>3553.8400000000011</v>
      </c>
      <c r="AM18" s="417">
        <f t="shared" si="56"/>
        <v>3980.9384000000009</v>
      </c>
      <c r="AN18" s="417">
        <f t="shared" si="56"/>
        <v>4441.1184240000011</v>
      </c>
      <c r="AO18" s="417">
        <f t="shared" si="56"/>
        <v>4929.6414506400024</v>
      </c>
      <c r="AP18" s="399">
        <v>1.1327329984570202</v>
      </c>
      <c r="AQ18" s="399">
        <v>1.0695483959491083</v>
      </c>
      <c r="AR18" s="399">
        <v>0.56728908151283697</v>
      </c>
      <c r="AS18" s="399">
        <v>0.69200324721103945</v>
      </c>
      <c r="AT18" s="399">
        <v>1.1941425499561251</v>
      </c>
      <c r="AU18" s="399">
        <v>1.872032481643596</v>
      </c>
      <c r="AV18" s="399">
        <v>2.6769595751866779</v>
      </c>
      <c r="AW18" s="399">
        <v>3.6100841872712834</v>
      </c>
      <c r="AX18" s="399">
        <v>4.6848993528938037</v>
      </c>
      <c r="AY18" s="427">
        <f t="shared" ref="AY18:BG18" si="57">AP18</f>
        <v>1.1327329984570202</v>
      </c>
      <c r="AZ18" s="427">
        <f t="shared" si="57"/>
        <v>1.0695483959491083</v>
      </c>
      <c r="BA18" s="427">
        <f t="shared" si="57"/>
        <v>0.56728908151283697</v>
      </c>
      <c r="BB18" s="427">
        <f t="shared" si="57"/>
        <v>0.69200324721103945</v>
      </c>
      <c r="BC18" s="427">
        <f t="shared" si="57"/>
        <v>1.1941425499561251</v>
      </c>
      <c r="BD18" s="427">
        <f t="shared" si="57"/>
        <v>1.872032481643596</v>
      </c>
      <c r="BE18" s="427">
        <f t="shared" si="57"/>
        <v>2.6769595751866779</v>
      </c>
      <c r="BF18" s="427">
        <f t="shared" si="57"/>
        <v>3.6100841872712834</v>
      </c>
      <c r="BG18" s="427">
        <f t="shared" si="57"/>
        <v>4.6848993528938037</v>
      </c>
      <c r="BH18" s="400" t="e">
        <f t="shared" ref="BH18:BN18" ca="1" si="58">$N18/Q18</f>
        <v>#VALUE!</v>
      </c>
      <c r="BI18" s="400" t="e">
        <f t="shared" ca="1" si="58"/>
        <v>#VALUE!</v>
      </c>
      <c r="BJ18" s="400" t="e">
        <f t="shared" ca="1" si="58"/>
        <v>#VALUE!</v>
      </c>
      <c r="BK18" s="400" t="e">
        <f t="shared" ca="1" si="58"/>
        <v>#VALUE!</v>
      </c>
      <c r="BL18" s="400" t="e">
        <f t="shared" ca="1" si="58"/>
        <v>#VALUE!</v>
      </c>
      <c r="BM18" s="400" t="e">
        <f t="shared" ca="1" si="58"/>
        <v>#VALUE!</v>
      </c>
      <c r="BN18" s="400" t="e">
        <f t="shared" ca="1" si="58"/>
        <v>#VALUE!</v>
      </c>
      <c r="BO18" s="400" t="e">
        <f ca="1">$N18/AK18</f>
        <v>#VALUE!</v>
      </c>
      <c r="BP18" s="400" t="e">
        <f ca="1">$N18/AL18</f>
        <v>#VALUE!</v>
      </c>
      <c r="BQ18" s="400" t="e">
        <f ca="1">$N18/AM18</f>
        <v>#VALUE!</v>
      </c>
      <c r="BR18" s="400" t="e">
        <f ca="1">$N18/AN18</f>
        <v>#VALUE!</v>
      </c>
      <c r="BS18" s="400" t="e">
        <f ca="1">$N18/AO18</f>
        <v>#VALUE!</v>
      </c>
      <c r="BT18" s="400" t="e">
        <f ca="1">$H18/AT18</f>
        <v>#VALUE!</v>
      </c>
      <c r="BU18" s="400" t="e">
        <f ca="1">$H18/AU18</f>
        <v>#VALUE!</v>
      </c>
      <c r="BV18" s="400" t="e">
        <f ca="1">$H18/AV18</f>
        <v>#VALUE!</v>
      </c>
      <c r="BW18" s="400" t="e">
        <f ca="1">$H18/AW18</f>
        <v>#VALUE!</v>
      </c>
      <c r="BX18" s="400" t="e">
        <f ca="1">$H18/AX18</f>
        <v>#VALUE!</v>
      </c>
      <c r="BY18" s="8" t="e">
        <f ca="1">$H18/BC18</f>
        <v>#VALUE!</v>
      </c>
      <c r="BZ18" s="400" t="e">
        <f ca="1">$H18/BD18</f>
        <v>#VALUE!</v>
      </c>
      <c r="CA18" s="400" t="e">
        <f ca="1">$H18/BE18</f>
        <v>#VALUE!</v>
      </c>
      <c r="CB18" s="400" t="e">
        <f ca="1">$H18/BF18</f>
        <v>#VALUE!</v>
      </c>
      <c r="CC18" s="400" t="e">
        <f ca="1">$H18/BG18</f>
        <v>#VALUE!</v>
      </c>
      <c r="CD18" s="12">
        <v>22</v>
      </c>
      <c r="CE18" s="167">
        <v>22</v>
      </c>
      <c r="CF18" s="82">
        <v>22</v>
      </c>
      <c r="CG18" s="82">
        <v>22</v>
      </c>
      <c r="CH18" s="82">
        <v>22</v>
      </c>
      <c r="CI18" s="46"/>
      <c r="CJ18" s="46"/>
      <c r="CK18" s="46"/>
      <c r="CL18" s="46"/>
      <c r="CM18" s="46"/>
      <c r="CN18" s="43">
        <f>CD18*BD18</f>
        <v>41.184714596159111</v>
      </c>
      <c r="CO18" s="43">
        <f>CE18*BE18</f>
        <v>58.893110654106913</v>
      </c>
      <c r="CP18" s="43">
        <f>CF18*BF18</f>
        <v>79.421852119968236</v>
      </c>
      <c r="CQ18" s="43">
        <f>CG18*BG18</f>
        <v>103.06778576366368</v>
      </c>
      <c r="CR18" s="7"/>
      <c r="CS18" s="7"/>
      <c r="CT18" s="7"/>
      <c r="CU18" s="7"/>
      <c r="CV18" s="7"/>
      <c r="CW18" s="7"/>
      <c r="CX18" s="41"/>
      <c r="CY18" s="41"/>
      <c r="CZ18" s="41"/>
      <c r="DA18" s="41"/>
      <c r="DB18" s="19"/>
      <c r="DC18" s="185">
        <v>414.18387141509959</v>
      </c>
      <c r="DD18" s="185">
        <v>401.21458753898139</v>
      </c>
      <c r="DE18" s="185">
        <v>388.58912329887863</v>
      </c>
      <c r="DF18" s="185">
        <v>377.6104587422675</v>
      </c>
      <c r="DG18" s="185">
        <v>368.06379391043174</v>
      </c>
      <c r="DH18" s="40"/>
      <c r="DI18" s="40"/>
      <c r="DJ18" s="40"/>
      <c r="DK18" s="40"/>
      <c r="DL18" s="40"/>
      <c r="DM18" s="7"/>
      <c r="DN18" s="7"/>
      <c r="DO18" s="244">
        <v>0</v>
      </c>
      <c r="DP18" s="244">
        <v>0</v>
      </c>
      <c r="DQ18" s="244">
        <v>0</v>
      </c>
      <c r="DR18" s="244">
        <v>0</v>
      </c>
      <c r="DS18" s="244">
        <v>0</v>
      </c>
      <c r="DT18" s="78" t="e">
        <f ca="1">_xlfn.RRI(DT$2,$H18,CN18+$DO18*$DT$2)</f>
        <v>#VALUE!</v>
      </c>
      <c r="DU18" s="78" t="e">
        <f ca="1">_xlfn.RRI(DU$2,$H18,CO18+$DO18*$DT$2+SUM($DP18:DP18))</f>
        <v>#VALUE!</v>
      </c>
      <c r="DV18" s="6" t="e">
        <f ca="1">_xlfn.RRI(DV$2,$H18,CP18+$DO18*$DT$2+SUM($DP18:DQ18))</f>
        <v>#VALUE!</v>
      </c>
      <c r="DW18" s="6" t="e">
        <f ca="1">_xlfn.RRI(DW$2,$H18,CQ18+$DO18*$DT$2+SUM($DP18:DR18))</f>
        <v>#VALUE!</v>
      </c>
      <c r="DX18" s="171" t="e">
        <f ca="1">SUM(CN18,$DO18:DO18)/$H18</f>
        <v>#VALUE!</v>
      </c>
      <c r="DY18" s="132" t="e">
        <f ca="1">SUM(CO18,$DO18:DP18)/$H18</f>
        <v>#VALUE!</v>
      </c>
      <c r="DZ18" s="132" t="e">
        <f ca="1">SUM(CP18,$DO18:DQ18)/$H18</f>
        <v>#VALUE!</v>
      </c>
      <c r="EA18" s="132" t="e">
        <f ca="1">SUM(CQ18,$DO18:DR18)/$H18</f>
        <v>#VALUE!</v>
      </c>
      <c r="EB18" s="78" cm="1">
        <f t="array" ref="EB18">_xll.BDP(""&amp;$B18&amp;"","CHG_PCT_1M")/100</f>
        <v>3.0210539999999998E-2</v>
      </c>
      <c r="EC18" s="6" cm="1">
        <f t="array" ref="EC18">_xll.BDP(""&amp;$B18&amp;"","CHG_PCT_3M")/100</f>
        <v>-0.30219099999999999</v>
      </c>
      <c r="ED18" s="194" cm="1">
        <f t="array" ref="ED18">_xll.BDP(""&amp;$B18&amp;"","CHG_PCT_6M")/100</f>
        <v>-0.49102970000000001</v>
      </c>
      <c r="EE18" s="363">
        <f ca="1">_xlfn.RRI(2+$DT$2,$DT$2*S18+(1-$DT$2)*T18,V18)</f>
        <v>0.12490086410224488</v>
      </c>
      <c r="EF18" s="175">
        <f ca="1">EG18-EE18</f>
        <v>0.24632538026846551</v>
      </c>
      <c r="EG18" s="363">
        <f ca="1">_xlfn.RRI(2+$DT$2,$DT$2*(BC18*DC18)+(1-$DT$2)*(BD18*DD18),(BF18*DF18))</f>
        <v>0.37122624437071039</v>
      </c>
      <c r="EH18" s="6">
        <f ca="1">EI18-EG18</f>
        <v>4.077277757815545E-2</v>
      </c>
      <c r="EI18" s="363">
        <f ca="1">ER18+EQ18</f>
        <v>0.41199902194886584</v>
      </c>
      <c r="EJ18" s="6" t="e">
        <f ca="1">EK18-EI18</f>
        <v>#VALUE!</v>
      </c>
      <c r="EK18" s="194" t="e">
        <f ca="1">DV18</f>
        <v>#VALUE!</v>
      </c>
      <c r="EL18" s="6">
        <f>_xlfn.RRI(3,AK18,AN18)</f>
        <v>0.13035730318595951</v>
      </c>
      <c r="EM18" s="194">
        <f>_xlfn.RRI(3,BC18,BF18)</f>
        <v>0.44595147547374037</v>
      </c>
      <c r="EN18" s="163" cm="1">
        <f t="array" ref="EN18">_xll.BDP(B18,"AVG_DAILY_VALUE_TRADED_3M")/10^6</f>
        <v>262.390736</v>
      </c>
      <c r="EQ18" s="361">
        <f ca="1">IFERROR(AVERAGE(DP18:DQ18)/H18,0)</f>
        <v>0</v>
      </c>
      <c r="ER18" s="361">
        <f ca="1">_xlfn.RRI(2+$DT$2,$DT$2*(BC18)+(1-$DT$2)*(BD18),(BF18))</f>
        <v>0.41199902194886584</v>
      </c>
      <c r="ES18" s="127">
        <f ca="1">ER18-EG18+EQ18</f>
        <v>4.077277757815545E-2</v>
      </c>
      <c r="EU18" s="361" t="e">
        <f ca="1">_xlfn.RRI(2+$DT$2,($DT$2*BY18+(1-$DT$2)*BZ18),CF18)</f>
        <v>#VALUE!</v>
      </c>
      <c r="EV18" s="127" t="e">
        <f ca="1">EJ18-EU18</f>
        <v>#VALUE!</v>
      </c>
      <c r="EX18" s="292"/>
      <c r="EY18" s="292"/>
      <c r="EZ18" s="292"/>
      <c r="FA18" s="292"/>
      <c r="FB18" s="292"/>
      <c r="FC18" s="292"/>
      <c r="FD18" s="292"/>
      <c r="FE18" s="292"/>
      <c r="FF18" s="296">
        <v>0.05</v>
      </c>
      <c r="FG18" s="296">
        <v>-0.25</v>
      </c>
      <c r="FH18" s="295">
        <f>FF18-FG18</f>
        <v>0.3</v>
      </c>
      <c r="FI18" s="298">
        <f>FT18/CF18-1</f>
        <v>0.36363636363636354</v>
      </c>
      <c r="FJ18" s="298">
        <f>FU18/CF18-1</f>
        <v>-0.18181818181818177</v>
      </c>
      <c r="FK18" s="295">
        <f>FI18-FJ18</f>
        <v>0.5454545454545453</v>
      </c>
      <c r="FL18" s="15">
        <f>FF18+FG18</f>
        <v>-0.2</v>
      </c>
      <c r="FM18" s="15">
        <f>FJ18+FI18</f>
        <v>0.18181818181818177</v>
      </c>
      <c r="FN18" s="15" t="e">
        <f ca="1">EK18+FF18/3+FI18/3</f>
        <v>#VALUE!</v>
      </c>
      <c r="FO18" s="15" t="e">
        <f ca="1">EK18+FG18/3+FJ18/3</f>
        <v>#VALUE!</v>
      </c>
      <c r="FP18" s="300" t="e">
        <f ca="1">EK18+FL18/3+FM18/3</f>
        <v>#VALUE!</v>
      </c>
      <c r="FQ18" s="15" t="e">
        <f ca="1">EK18</f>
        <v>#VALUE!</v>
      </c>
      <c r="FR18" s="300" t="e">
        <f ca="1">FP18-FQ18</f>
        <v>#VALUE!</v>
      </c>
      <c r="FS18" s="15" t="e">
        <f ca="1">FN18-FO18</f>
        <v>#VALUE!</v>
      </c>
      <c r="FT18" s="294">
        <v>30</v>
      </c>
      <c r="FU18" s="294">
        <v>18</v>
      </c>
    </row>
    <row r="19" spans="2:178" x14ac:dyDescent="0.25">
      <c r="B19" s="10" t="s">
        <v>87</v>
      </c>
      <c r="C19" s="10"/>
      <c r="D19" s="142" t="s">
        <v>85</v>
      </c>
      <c r="E19" s="290">
        <v>1</v>
      </c>
      <c r="F19" s="413">
        <v>45810</v>
      </c>
      <c r="G19" s="394"/>
      <c r="H19" s="411" t="str" cm="1">
        <f t="array" aca="1" ref="H19" ca="1">_xll.BQL($B19, "px_last", "dates=" &amp; _xll.BQL.DATE($D$2))</f>
        <v>#N/A Connection</v>
      </c>
      <c r="I19" s="396">
        <v>197.2</v>
      </c>
      <c r="J19" s="25">
        <v>-853.6</v>
      </c>
      <c r="K19" s="396">
        <v>5103.7999999999993</v>
      </c>
      <c r="L19" s="396">
        <v>106.7</v>
      </c>
      <c r="M19" s="76">
        <f t="shared" ref="M19:M22" si="59">K19+J19</f>
        <v>4250.1999999999989</v>
      </c>
      <c r="N19" s="76" t="e">
        <f t="shared" ref="N19:N22" ca="1" si="60">I19*H19+M19+L19</f>
        <v>#VALUE!</v>
      </c>
      <c r="O19" s="396">
        <v>3710</v>
      </c>
      <c r="P19" s="396">
        <v>3831.3999999999996</v>
      </c>
      <c r="Q19" s="396">
        <v>4183.7999999999993</v>
      </c>
      <c r="R19" s="396">
        <v>4576.2</v>
      </c>
      <c r="S19" s="396">
        <v>5129.441202597176</v>
      </c>
      <c r="T19" s="396">
        <v>5454.1426388977252</v>
      </c>
      <c r="U19" s="396">
        <v>5789.8404098703886</v>
      </c>
      <c r="V19" s="396">
        <v>6148.0729236525103</v>
      </c>
      <c r="W19" s="396">
        <v>6528.9595136601974</v>
      </c>
      <c r="X19" s="21">
        <v>0.6</v>
      </c>
      <c r="Y19" s="21">
        <v>0.6</v>
      </c>
      <c r="Z19" s="21">
        <v>0.6</v>
      </c>
      <c r="AA19" s="21">
        <v>0.6</v>
      </c>
      <c r="AB19" s="21">
        <v>0.6</v>
      </c>
      <c r="AC19" s="21">
        <v>0.6</v>
      </c>
      <c r="AD19" s="21">
        <v>0.6</v>
      </c>
      <c r="AE19" s="21">
        <v>0.6</v>
      </c>
      <c r="AF19" s="21">
        <v>0.6</v>
      </c>
      <c r="AG19" s="417">
        <f t="shared" ref="AG19:AO22" si="61">X19*O19</f>
        <v>2226</v>
      </c>
      <c r="AH19" s="417">
        <f t="shared" si="61"/>
        <v>2298.8399999999997</v>
      </c>
      <c r="AI19" s="417">
        <f t="shared" si="61"/>
        <v>2510.2799999999993</v>
      </c>
      <c r="AJ19" s="417">
        <f t="shared" si="61"/>
        <v>2745.72</v>
      </c>
      <c r="AK19" s="417">
        <f t="shared" si="61"/>
        <v>3077.6647215583057</v>
      </c>
      <c r="AL19" s="417">
        <f t="shared" si="61"/>
        <v>3272.485583338635</v>
      </c>
      <c r="AM19" s="417">
        <f t="shared" si="61"/>
        <v>3473.9042459222333</v>
      </c>
      <c r="AN19" s="417">
        <f t="shared" si="61"/>
        <v>3688.8437541915059</v>
      </c>
      <c r="AO19" s="417">
        <f t="shared" si="61"/>
        <v>3917.3757081961185</v>
      </c>
      <c r="AP19" s="399">
        <v>3.2912725825851559</v>
      </c>
      <c r="AQ19" s="399">
        <v>2.9783797542014465</v>
      </c>
      <c r="AR19" s="399">
        <v>3.4392731471326776</v>
      </c>
      <c r="AS19" s="399">
        <v>3.7571822860259325</v>
      </c>
      <c r="AT19" s="399">
        <v>4.269866378149004</v>
      </c>
      <c r="AU19" s="399">
        <v>4.9567661715933733</v>
      </c>
      <c r="AV19" s="399">
        <v>5.7838142923577402</v>
      </c>
      <c r="AW19" s="399">
        <v>6.7404566552257457</v>
      </c>
      <c r="AX19" s="399">
        <v>7.8511706027911723</v>
      </c>
      <c r="AY19" s="427">
        <f t="shared" ref="AY19" si="62">AP19</f>
        <v>3.2912725825851559</v>
      </c>
      <c r="AZ19" s="427">
        <f t="shared" ref="AZ19" si="63">AQ19</f>
        <v>2.9783797542014465</v>
      </c>
      <c r="BA19" s="427">
        <f t="shared" ref="BA19" si="64">AR19</f>
        <v>3.4392731471326776</v>
      </c>
      <c r="BB19" s="427">
        <f t="shared" ref="BB19" si="65">AS19</f>
        <v>3.7571822860259325</v>
      </c>
      <c r="BC19" s="427">
        <f t="shared" ref="BC19" si="66">AT19</f>
        <v>4.269866378149004</v>
      </c>
      <c r="BD19" s="427">
        <f t="shared" ref="BD19" si="67">AU19</f>
        <v>4.9567661715933733</v>
      </c>
      <c r="BE19" s="427">
        <f t="shared" ref="BE19" si="68">AV19</f>
        <v>5.7838142923577402</v>
      </c>
      <c r="BF19" s="427">
        <f t="shared" ref="BF19" si="69">AW19</f>
        <v>6.7404566552257457</v>
      </c>
      <c r="BG19" s="427">
        <f t="shared" ref="BG19" si="70">AX19</f>
        <v>7.8511706027911723</v>
      </c>
      <c r="BH19" s="400" t="e">
        <f t="shared" ref="BH19:BN22" ca="1" si="71">$N19/Q19</f>
        <v>#VALUE!</v>
      </c>
      <c r="BI19" s="400" t="e">
        <f t="shared" ca="1" si="71"/>
        <v>#VALUE!</v>
      </c>
      <c r="BJ19" s="400" t="e">
        <f t="shared" ca="1" si="71"/>
        <v>#VALUE!</v>
      </c>
      <c r="BK19" s="400" t="e">
        <f t="shared" ca="1" si="71"/>
        <v>#VALUE!</v>
      </c>
      <c r="BL19" s="400" t="e">
        <f t="shared" ca="1" si="71"/>
        <v>#VALUE!</v>
      </c>
      <c r="BM19" s="400" t="e">
        <f t="shared" ca="1" si="71"/>
        <v>#VALUE!</v>
      </c>
      <c r="BN19" s="400" t="e">
        <f t="shared" ca="1" si="71"/>
        <v>#VALUE!</v>
      </c>
      <c r="BO19" s="400" t="e">
        <f t="shared" ref="BO19:BS19" ca="1" si="72">$N19/AK19</f>
        <v>#VALUE!</v>
      </c>
      <c r="BP19" s="400" t="e">
        <f t="shared" ca="1" si="72"/>
        <v>#VALUE!</v>
      </c>
      <c r="BQ19" s="400" t="e">
        <f t="shared" ca="1" si="72"/>
        <v>#VALUE!</v>
      </c>
      <c r="BR19" s="400" t="e">
        <f t="shared" ca="1" si="72"/>
        <v>#VALUE!</v>
      </c>
      <c r="BS19" s="400" t="e">
        <f t="shared" ca="1" si="72"/>
        <v>#VALUE!</v>
      </c>
      <c r="BT19" s="400" t="e">
        <f t="shared" ref="BT19:BX22" ca="1" si="73">$H19/AT19</f>
        <v>#VALUE!</v>
      </c>
      <c r="BU19" s="400" t="e">
        <f t="shared" ca="1" si="73"/>
        <v>#VALUE!</v>
      </c>
      <c r="BV19" s="400" t="e">
        <f t="shared" ca="1" si="73"/>
        <v>#VALUE!</v>
      </c>
      <c r="BW19" s="400" t="e">
        <f t="shared" ca="1" si="73"/>
        <v>#VALUE!</v>
      </c>
      <c r="BX19" s="400" t="e">
        <f t="shared" ca="1" si="73"/>
        <v>#VALUE!</v>
      </c>
      <c r="BY19" s="8" t="e">
        <f t="shared" ref="BY19:CC22" ca="1" si="74">$H19/BC19</f>
        <v>#VALUE!</v>
      </c>
      <c r="BZ19" s="400" t="e">
        <f t="shared" ca="1" si="74"/>
        <v>#VALUE!</v>
      </c>
      <c r="CA19" s="400" t="e">
        <f t="shared" ca="1" si="74"/>
        <v>#VALUE!</v>
      </c>
      <c r="CB19" s="400" t="e">
        <f t="shared" ca="1" si="74"/>
        <v>#VALUE!</v>
      </c>
      <c r="CC19" s="400" t="e">
        <f t="shared" ca="1" si="74"/>
        <v>#VALUE!</v>
      </c>
      <c r="CD19" s="12">
        <v>20</v>
      </c>
      <c r="CE19" s="167">
        <v>20</v>
      </c>
      <c r="CF19" s="82">
        <v>20</v>
      </c>
      <c r="CG19" s="82">
        <v>20</v>
      </c>
      <c r="CH19" s="82">
        <v>20</v>
      </c>
      <c r="CI19" s="46">
        <v>103.92789872236774</v>
      </c>
      <c r="CJ19" s="46">
        <v>130.01873940148477</v>
      </c>
      <c r="CK19" s="46">
        <v>162.57321472297969</v>
      </c>
      <c r="CL19" s="46">
        <v>192.09422444413721</v>
      </c>
      <c r="CM19" s="46"/>
      <c r="CN19" s="43">
        <f t="shared" ref="CN19:CQ22" si="75">CD19*BD19</f>
        <v>99.135323431867462</v>
      </c>
      <c r="CO19" s="43">
        <f t="shared" si="75"/>
        <v>115.6762858471548</v>
      </c>
      <c r="CP19" s="43">
        <f t="shared" si="75"/>
        <v>134.8091331045149</v>
      </c>
      <c r="CQ19" s="43">
        <f t="shared" si="75"/>
        <v>157.02341205582346</v>
      </c>
      <c r="CR19" s="7"/>
      <c r="CS19" s="7"/>
      <c r="CT19" s="7"/>
      <c r="CU19" s="7"/>
      <c r="CV19" s="7"/>
      <c r="CW19" s="7"/>
      <c r="CX19" s="41"/>
      <c r="CY19" s="41"/>
      <c r="CZ19" s="41"/>
      <c r="DA19" s="41"/>
      <c r="DB19" s="19"/>
      <c r="DC19" s="185">
        <v>190.14719828607727</v>
      </c>
      <c r="DD19" s="185">
        <v>181.44159485823181</v>
      </c>
      <c r="DE19" s="185">
        <v>172.73599143038635</v>
      </c>
      <c r="DF19" s="185">
        <v>164.03038800254089</v>
      </c>
      <c r="DG19" s="185">
        <v>155.32478457469543</v>
      </c>
      <c r="DH19" s="40"/>
      <c r="DI19" s="40"/>
      <c r="DJ19" s="40"/>
      <c r="DK19" s="40"/>
      <c r="DL19" s="40"/>
      <c r="DM19" s="7"/>
      <c r="DN19" s="7"/>
      <c r="DO19" s="7">
        <v>0.52590835364058097</v>
      </c>
      <c r="DP19" s="7">
        <v>0.56767578614197245</v>
      </c>
      <c r="DQ19" s="7">
        <v>0.61417426166656708</v>
      </c>
      <c r="DR19" s="7">
        <v>0.66617351413146286</v>
      </c>
      <c r="DS19" s="7">
        <v>0.72461636633318149</v>
      </c>
      <c r="DT19" s="78" t="e">
        <f t="shared" ref="DT19:DT22" ca="1" si="76">_xlfn.RRI(DT$2,$H19,CN19+$DO19*$DT$2)</f>
        <v>#VALUE!</v>
      </c>
      <c r="DU19" s="78" t="e">
        <f ca="1">_xlfn.RRI(DU$2,$H19,CO19+$DO19*$DT$2+SUM($DP19:DP19))</f>
        <v>#VALUE!</v>
      </c>
      <c r="DV19" s="6" t="e">
        <f ca="1">_xlfn.RRI(DV$2,$H19,CP19+$DO19*$DT$2+SUM($DP19:DQ19))</f>
        <v>#VALUE!</v>
      </c>
      <c r="DW19" s="6" t="e">
        <f ca="1">_xlfn.RRI(DW$2,$H19,CQ19+$DO19*$DT$2+SUM($DP19:DR19))</f>
        <v>#VALUE!</v>
      </c>
      <c r="DX19" s="171" t="e">
        <f ca="1">SUM(CN19,$DO19:DO19)/$H19</f>
        <v>#VALUE!</v>
      </c>
      <c r="DY19" s="132" t="e">
        <f ca="1">SUM(CO19,$DO19:DP19)/$H19</f>
        <v>#VALUE!</v>
      </c>
      <c r="DZ19" s="132" t="e">
        <f ca="1">SUM(CP19,$DO19:DQ19)/$H19</f>
        <v>#VALUE!</v>
      </c>
      <c r="EA19" s="132" t="e">
        <f ca="1">SUM(CQ19,$DO19:DR19)/$H19</f>
        <v>#VALUE!</v>
      </c>
      <c r="EB19" s="78" cm="1">
        <f t="array" ref="EB19">_xll.BDP(""&amp;$B19&amp;"","CHG_PCT_1M")/100</f>
        <v>-2.3611110000000001E-2</v>
      </c>
      <c r="EC19" s="6" cm="1">
        <f t="array" ref="EC19">_xll.BDP(""&amp;$B19&amp;"","CHG_PCT_3M")/100</f>
        <v>-9.1496479999999991E-2</v>
      </c>
      <c r="ED19" s="194" cm="1">
        <f t="array" ref="ED19">_xll.BDP(""&amp;$B19&amp;"","CHG_PCT_6M")/100</f>
        <v>-0.14278750000000001</v>
      </c>
      <c r="EE19" s="363">
        <f t="shared" ref="EE19:EE22" ca="1" si="77">_xlfn.RRI(2+$DT$2,$DT$2*S19+(1-$DT$2)*T19,V19)</f>
        <v>6.186492406741384E-2</v>
      </c>
      <c r="EF19" s="175">
        <f t="shared" ref="EF19:EF22" ca="1" si="78">EG19-EE19</f>
        <v>4.6110900660117693E-2</v>
      </c>
      <c r="EG19" s="363">
        <f t="shared" ref="EG19:EG22" ca="1" si="79">_xlfn.RRI(2+$DT$2,$DT$2*(BC19*DC19)+(1-$DT$2)*(BD19*DD19),(BF19*DF19))</f>
        <v>0.10797582472753153</v>
      </c>
      <c r="EH19" s="6">
        <f t="shared" ref="EH19:EH22" ca="1" si="80">EI19-EG19</f>
        <v>5.5746156134432567E-2</v>
      </c>
      <c r="EI19" s="363">
        <f t="shared" ref="EI19:EI22" ca="1" si="81">ER19+EQ19</f>
        <v>0.1637219808619641</v>
      </c>
      <c r="EJ19" s="6" t="e">
        <f t="shared" ref="EJ19:EJ22" ca="1" si="82">EK19-EI19</f>
        <v>#VALUE!</v>
      </c>
      <c r="EK19" s="194" t="e">
        <f t="shared" ref="EK19:EK22" ca="1" si="83">DV19</f>
        <v>#VALUE!</v>
      </c>
      <c r="EL19" s="6">
        <f t="shared" ref="EL19:EL22" si="84">_xlfn.RRI(3,AK19,AN19)</f>
        <v>6.2240815489398083E-2</v>
      </c>
      <c r="EM19" s="194">
        <f t="shared" ref="EM19:EM22" si="85">_xlfn.RRI(3,BC19,BF19)</f>
        <v>0.16437179988716011</v>
      </c>
      <c r="EN19" s="163" cm="1">
        <f t="array" ref="EN19">_xll.BDP(B19,"AVG_DAILY_VALUE_TRADED_3M")/10^6</f>
        <v>160.06407999999999</v>
      </c>
      <c r="EQ19" s="361">
        <f t="shared" ref="EQ19:EQ22" ca="1" si="86">IFERROR(AVERAGE(DP19:DQ19)/H19,0)</f>
        <v>0</v>
      </c>
      <c r="ER19" s="361">
        <f t="shared" ref="ER19:ER22" ca="1" si="87">_xlfn.RRI(2+$DT$2,$DT$2*(BC19)+(1-$DT$2)*(BD19),(BF19))</f>
        <v>0.1637219808619641</v>
      </c>
      <c r="ES19" s="127">
        <f t="shared" ref="ES19:ES22" ca="1" si="88">ER19-EG19+EQ19</f>
        <v>5.5746156134432567E-2</v>
      </c>
      <c r="EU19" s="361" t="e">
        <f t="shared" ref="EU19:EU22" ca="1" si="89">_xlfn.RRI(2+$DT$2,($DT$2*BY19+(1-$DT$2)*BZ19),CF19)</f>
        <v>#VALUE!</v>
      </c>
      <c r="EV19" s="127" t="e">
        <f t="shared" ref="EV19:EV22" ca="1" si="90">EJ19-EU19</f>
        <v>#VALUE!</v>
      </c>
      <c r="EX19" s="292"/>
      <c r="EY19" s="292"/>
      <c r="EZ19" s="292"/>
      <c r="FA19" s="292"/>
      <c r="FB19" s="292"/>
      <c r="FC19" s="292"/>
      <c r="FD19" s="292"/>
      <c r="FE19" s="292"/>
      <c r="FF19" s="296">
        <v>0.2</v>
      </c>
      <c r="FG19" s="296">
        <v>-0.2</v>
      </c>
      <c r="FH19" s="295">
        <f t="shared" ref="FH19:FH22" si="91">FF19-FG19</f>
        <v>0.4</v>
      </c>
      <c r="FI19" s="298">
        <f t="shared" ref="FI19:FI22" si="92">FT19/CF19-1</f>
        <v>0.30000000000000004</v>
      </c>
      <c r="FJ19" s="298">
        <f t="shared" ref="FJ19:FJ22" si="93">FU19/CF19-1</f>
        <v>-0.30000000000000004</v>
      </c>
      <c r="FK19" s="295">
        <f t="shared" ref="FK19:FK22" si="94">FI19-FJ19</f>
        <v>0.60000000000000009</v>
      </c>
      <c r="FL19" s="15">
        <f t="shared" ref="FL19:FL22" si="95">FF19+FG19</f>
        <v>0</v>
      </c>
      <c r="FM19" s="15">
        <f t="shared" ref="FM19:FM22" si="96">FJ19+FI19</f>
        <v>0</v>
      </c>
      <c r="FN19" s="15" t="e">
        <f t="shared" ref="FN19:FN22" ca="1" si="97">EK19+FF19/3+FI19/3</f>
        <v>#VALUE!</v>
      </c>
      <c r="FO19" s="15" t="e">
        <f t="shared" ref="FO19:FO22" ca="1" si="98">EK19+FG19/3+FJ19/3</f>
        <v>#VALUE!</v>
      </c>
      <c r="FP19" s="300" t="e">
        <f t="shared" ref="FP19:FP22" ca="1" si="99">EK19+FL19/3+FM19/3</f>
        <v>#VALUE!</v>
      </c>
      <c r="FQ19" s="15" t="e">
        <f t="shared" ref="FQ19:FQ22" ca="1" si="100">EK19</f>
        <v>#VALUE!</v>
      </c>
      <c r="FR19" s="300" t="e">
        <f t="shared" ref="FR19:FR22" ca="1" si="101">FP19-FQ19</f>
        <v>#VALUE!</v>
      </c>
      <c r="FS19" s="15" t="e">
        <f t="shared" ref="FS19:FS22" ca="1" si="102">FN19-FO19</f>
        <v>#VALUE!</v>
      </c>
      <c r="FT19" s="294">
        <v>26</v>
      </c>
      <c r="FU19" s="294">
        <v>14</v>
      </c>
    </row>
    <row r="20" spans="2:178" x14ac:dyDescent="0.25">
      <c r="B20" s="10" t="s">
        <v>88</v>
      </c>
      <c r="C20" s="10"/>
      <c r="D20" s="142" t="s">
        <v>86</v>
      </c>
      <c r="E20" s="290">
        <v>1</v>
      </c>
      <c r="F20" s="413">
        <v>45810</v>
      </c>
      <c r="G20" s="394"/>
      <c r="H20" s="411" t="str" cm="1">
        <f t="array" aca="1" ref="H20" ca="1">_xll.BQL($B20, "px_last", "dates=" &amp; _xll.BQL.DATE($D$2))</f>
        <v>#N/A Connection</v>
      </c>
      <c r="I20" s="396">
        <v>124.1</v>
      </c>
      <c r="J20" s="25">
        <v>-180.8</v>
      </c>
      <c r="K20" s="396">
        <v>5093.3</v>
      </c>
      <c r="L20" s="396">
        <v>17.5</v>
      </c>
      <c r="M20" s="76">
        <f>K20+J20</f>
        <v>4912.5</v>
      </c>
      <c r="N20" s="76" t="e">
        <f ca="1">I20*H20+M20+L20</f>
        <v>#VALUE!</v>
      </c>
      <c r="O20" s="396">
        <v>5122.2000000000007</v>
      </c>
      <c r="P20" s="396">
        <v>5265.2000000000007</v>
      </c>
      <c r="Q20" s="396">
        <v>5681.1</v>
      </c>
      <c r="R20" s="396">
        <v>6074.5</v>
      </c>
      <c r="S20" s="396">
        <v>6645.2564000000002</v>
      </c>
      <c r="T20" s="396">
        <v>7203.1700243000005</v>
      </c>
      <c r="U20" s="396">
        <v>7801.8195109570006</v>
      </c>
      <c r="V20" s="396">
        <v>8448.8615438130109</v>
      </c>
      <c r="W20" s="396">
        <v>9146.5591680394136</v>
      </c>
      <c r="X20" s="21">
        <v>0.6</v>
      </c>
      <c r="Y20" s="21">
        <v>0.6</v>
      </c>
      <c r="Z20" s="21">
        <v>0.6</v>
      </c>
      <c r="AA20" s="21">
        <v>0.6</v>
      </c>
      <c r="AB20" s="21">
        <v>0.6</v>
      </c>
      <c r="AC20" s="21">
        <v>0.6</v>
      </c>
      <c r="AD20" s="21">
        <v>0.6</v>
      </c>
      <c r="AE20" s="21">
        <v>0.6</v>
      </c>
      <c r="AF20" s="21">
        <v>0.6</v>
      </c>
      <c r="AG20" s="417">
        <f>X20*O20</f>
        <v>3073.32</v>
      </c>
      <c r="AH20" s="417">
        <f>Y20*P20</f>
        <v>3159.1200000000003</v>
      </c>
      <c r="AI20" s="417">
        <f>Z20*Q20</f>
        <v>3408.6600000000003</v>
      </c>
      <c r="AJ20" s="417">
        <f>AA20*R20</f>
        <v>3644.7</v>
      </c>
      <c r="AK20" s="417">
        <f>AB20*S20</f>
        <v>3987.1538399999999</v>
      </c>
      <c r="AL20" s="417">
        <f>AC20*T20</f>
        <v>4321.9020145800005</v>
      </c>
      <c r="AM20" s="417">
        <f>AD20*U20</f>
        <v>4681.0917065742005</v>
      </c>
      <c r="AN20" s="417">
        <f>AE20*V20</f>
        <v>5069.3169262878064</v>
      </c>
      <c r="AO20" s="417">
        <f>AF20*W20</f>
        <v>5487.935500823648</v>
      </c>
      <c r="AP20" s="399">
        <v>7.5579886455798837</v>
      </c>
      <c r="AQ20" s="399">
        <v>6.7110573042776425</v>
      </c>
      <c r="AR20" s="399">
        <v>7.294635708566851</v>
      </c>
      <c r="AS20" s="399">
        <v>7.6526994359387599</v>
      </c>
      <c r="AT20" s="399">
        <v>8.2610487950169116</v>
      </c>
      <c r="AU20" s="399">
        <v>9.9529019399074734</v>
      </c>
      <c r="AV20" s="399">
        <v>11.994757433689974</v>
      </c>
      <c r="AW20" s="399">
        <v>14.410320775091227</v>
      </c>
      <c r="AX20" s="399">
        <v>17.275352313242774</v>
      </c>
      <c r="AY20" s="427">
        <f>AP20</f>
        <v>7.5579886455798837</v>
      </c>
      <c r="AZ20" s="427">
        <f>AQ20</f>
        <v>6.7110573042776425</v>
      </c>
      <c r="BA20" s="427">
        <f>AR20</f>
        <v>7.294635708566851</v>
      </c>
      <c r="BB20" s="427">
        <f>AS20</f>
        <v>7.6526994359387599</v>
      </c>
      <c r="BC20" s="427">
        <f t="shared" ref="BC20" si="103">AT20</f>
        <v>8.2610487950169116</v>
      </c>
      <c r="BD20" s="427">
        <f t="shared" ref="BD20" si="104">AU20</f>
        <v>9.9529019399074734</v>
      </c>
      <c r="BE20" s="427">
        <f t="shared" ref="BE20" si="105">AV20</f>
        <v>11.994757433689974</v>
      </c>
      <c r="BF20" s="427">
        <f t="shared" ref="BF20" si="106">AW20</f>
        <v>14.410320775091227</v>
      </c>
      <c r="BG20" s="427">
        <f t="shared" ref="BG20" si="107">AX20</f>
        <v>17.275352313242774</v>
      </c>
      <c r="BH20" s="400" t="e">
        <f ca="1">$N20/Q20</f>
        <v>#VALUE!</v>
      </c>
      <c r="BI20" s="400" t="e">
        <f ca="1">$N20/R20</f>
        <v>#VALUE!</v>
      </c>
      <c r="BJ20" s="400" t="e">
        <f ca="1">$N20/S20</f>
        <v>#VALUE!</v>
      </c>
      <c r="BK20" s="400" t="e">
        <f ca="1">$N20/T20</f>
        <v>#VALUE!</v>
      </c>
      <c r="BL20" s="400" t="e">
        <f ca="1">$N20/U20</f>
        <v>#VALUE!</v>
      </c>
      <c r="BM20" s="400" t="e">
        <f ca="1">$N20/V20</f>
        <v>#VALUE!</v>
      </c>
      <c r="BN20" s="400" t="e">
        <f ca="1">$N20/W20</f>
        <v>#VALUE!</v>
      </c>
      <c r="BO20" s="400" t="e">
        <f ca="1">$N20/AK20</f>
        <v>#VALUE!</v>
      </c>
      <c r="BP20" s="400" t="e">
        <f ca="1">$N20/AL20</f>
        <v>#VALUE!</v>
      </c>
      <c r="BQ20" s="400" t="e">
        <f ca="1">$N20/AM20</f>
        <v>#VALUE!</v>
      </c>
      <c r="BR20" s="400" t="e">
        <f ca="1">$N20/AN20</f>
        <v>#VALUE!</v>
      </c>
      <c r="BS20" s="400" t="e">
        <f ca="1">$N20/AO20</f>
        <v>#VALUE!</v>
      </c>
      <c r="BT20" s="400" t="e">
        <f ca="1">$H20/AT20</f>
        <v>#VALUE!</v>
      </c>
      <c r="BU20" s="400" t="e">
        <f ca="1">$H20/AU20</f>
        <v>#VALUE!</v>
      </c>
      <c r="BV20" s="400" t="e">
        <f ca="1">$H20/AV20</f>
        <v>#VALUE!</v>
      </c>
      <c r="BW20" s="400" t="e">
        <f ca="1">$H20/AW20</f>
        <v>#VALUE!</v>
      </c>
      <c r="BX20" s="400" t="e">
        <f ca="1">$H20/AX20</f>
        <v>#VALUE!</v>
      </c>
      <c r="BY20" s="8" t="e">
        <f ca="1">$H20/BC20</f>
        <v>#VALUE!</v>
      </c>
      <c r="BZ20" s="400" t="e">
        <f ca="1">$H20/BD20</f>
        <v>#VALUE!</v>
      </c>
      <c r="CA20" s="400" t="e">
        <f ca="1">$H20/BE20</f>
        <v>#VALUE!</v>
      </c>
      <c r="CB20" s="400" t="e">
        <f ca="1">$H20/BF20</f>
        <v>#VALUE!</v>
      </c>
      <c r="CC20" s="400" t="e">
        <f ca="1">$H20/BG20</f>
        <v>#VALUE!</v>
      </c>
      <c r="CD20" s="12">
        <v>20</v>
      </c>
      <c r="CE20" s="287">
        <v>20</v>
      </c>
      <c r="CF20" s="12">
        <v>20</v>
      </c>
      <c r="CG20" s="12">
        <v>20</v>
      </c>
      <c r="CH20" s="12">
        <v>20</v>
      </c>
      <c r="CI20" s="46"/>
      <c r="CJ20" s="46"/>
      <c r="CK20" s="46"/>
      <c r="CL20" s="46"/>
      <c r="CM20" s="46"/>
      <c r="CN20" s="43">
        <f>CD20*BD20</f>
        <v>199.05803879814948</v>
      </c>
      <c r="CO20" s="43">
        <f>CE20*BE20</f>
        <v>239.8951486737995</v>
      </c>
      <c r="CP20" s="43">
        <f>CF20*BF20</f>
        <v>288.20641550182455</v>
      </c>
      <c r="CQ20" s="43">
        <f>CG20*BG20</f>
        <v>345.50704626485549</v>
      </c>
      <c r="CR20" s="7"/>
      <c r="CS20" s="7"/>
      <c r="CT20" s="7"/>
      <c r="CU20" s="7"/>
      <c r="CV20" s="7"/>
      <c r="CW20" s="7"/>
      <c r="CX20" s="41"/>
      <c r="CY20" s="41"/>
      <c r="CZ20" s="41"/>
      <c r="DA20" s="41"/>
      <c r="DB20" s="19"/>
      <c r="DC20" s="185">
        <v>121.30784887440541</v>
      </c>
      <c r="DD20" s="185">
        <v>115.56796622014565</v>
      </c>
      <c r="DE20" s="185">
        <v>109.43918309023559</v>
      </c>
      <c r="DF20" s="185">
        <v>103.32806479845617</v>
      </c>
      <c r="DG20" s="185">
        <v>97.333893504538594</v>
      </c>
      <c r="DH20" s="40"/>
      <c r="DI20" s="40"/>
      <c r="DJ20" s="40"/>
      <c r="DK20" s="40"/>
      <c r="DL20" s="40"/>
      <c r="DM20" s="7"/>
      <c r="DN20" s="7"/>
      <c r="DO20" s="7">
        <v>1.9766569288377822</v>
      </c>
      <c r="DP20" s="7">
        <v>2.1370759396209507</v>
      </c>
      <c r="DQ20" s="7">
        <v>2.3244585569525968</v>
      </c>
      <c r="DR20" s="7">
        <v>2.5357917181462093</v>
      </c>
      <c r="DS20" s="7">
        <v>2.7727135407817198</v>
      </c>
      <c r="DT20" s="78" t="e">
        <f ca="1">_xlfn.RRI(DT$2,$H20,CN20+$DO20*$DT$2)</f>
        <v>#VALUE!</v>
      </c>
      <c r="DU20" s="78" t="e">
        <f ca="1">_xlfn.RRI(DU$2,$H20,CO20+$DO20*$DT$2+SUM($DP20:DP20))</f>
        <v>#VALUE!</v>
      </c>
      <c r="DV20" s="6" t="e">
        <f ca="1">_xlfn.RRI(DV$2,$H20,CP20+$DO20*$DT$2+SUM($DP20:DQ20))</f>
        <v>#VALUE!</v>
      </c>
      <c r="DW20" s="6" t="e">
        <f ca="1">_xlfn.RRI(DW$2,$H20,CQ20+$DO20*$DT$2+SUM($DP20:DR20))</f>
        <v>#VALUE!</v>
      </c>
      <c r="DX20" s="171" t="e">
        <f ca="1">SUM(CN20,$DO20:DO20)/$H20</f>
        <v>#VALUE!</v>
      </c>
      <c r="DY20" s="132" t="e">
        <f ca="1">SUM(CO20,$DO20:DP20)/$H20</f>
        <v>#VALUE!</v>
      </c>
      <c r="DZ20" s="132" t="e">
        <f ca="1">SUM(CP20,$DO20:DQ20)/$H20</f>
        <v>#VALUE!</v>
      </c>
      <c r="EA20" s="132" t="e">
        <f ca="1">SUM(CQ20,$DO20:DR20)/$H20</f>
        <v>#VALUE!</v>
      </c>
      <c r="EB20" s="78" cm="1">
        <f t="array" ref="EB20">_xll.BDP(""&amp;$B20&amp;"","CHG_PCT_1M")/100</f>
        <v>-3.5318219999999997E-2</v>
      </c>
      <c r="EC20" s="6" cm="1">
        <f t="array" ref="EC20">_xll.BDP(""&amp;$B20&amp;"","CHG_PCT_3M")/100</f>
        <v>-0.18385219999999999</v>
      </c>
      <c r="ED20" s="194" cm="1">
        <f t="array" ref="ED20">_xll.BDP(""&amp;$B20&amp;"","CHG_PCT_6M")/100</f>
        <v>-0.1933996</v>
      </c>
      <c r="EE20" s="363">
        <f ca="1">_xlfn.RRI(2+$DT$2,$DT$2*S20+(1-$DT$2)*T20,V20)</f>
        <v>8.2885985173510424E-2</v>
      </c>
      <c r="EF20" s="175">
        <f ca="1">EG20-EE20</f>
        <v>5.6013419122438846E-2</v>
      </c>
      <c r="EG20" s="363">
        <f ca="1">_xlfn.RRI(2+$DT$2,$DT$2*(BC20*DC20)+(1-$DT$2)*(BD20*DD20),(BF20*DF20))</f>
        <v>0.13889940429594927</v>
      </c>
      <c r="EH20" s="6">
        <f ca="1">EI20-EG20</f>
        <v>6.2679137405896812E-2</v>
      </c>
      <c r="EI20" s="363">
        <f ca="1">ER20+EQ20</f>
        <v>0.20157854170184608</v>
      </c>
      <c r="EJ20" s="6" t="e">
        <f ca="1">EK20-EI20</f>
        <v>#VALUE!</v>
      </c>
      <c r="EK20" s="194" t="e">
        <f ca="1">DV20</f>
        <v>#VALUE!</v>
      </c>
      <c r="EL20" s="6">
        <f>_xlfn.RRI(3,AK20,AN20)</f>
        <v>8.3333443077013181E-2</v>
      </c>
      <c r="EM20" s="194">
        <f>_xlfn.RRI(3,BC20,BF20)</f>
        <v>0.20377731168297619</v>
      </c>
      <c r="EN20" s="163" cm="1">
        <f t="array" ref="EN20">_xll.BDP(B20,"AVG_DAILY_VALUE_TRADED_3M")/10^6</f>
        <v>294.55366400000003</v>
      </c>
      <c r="EQ20" s="361">
        <f ca="1">IFERROR(AVERAGE(DP20:DQ20)/H20,0)</f>
        <v>0</v>
      </c>
      <c r="ER20" s="361">
        <f ca="1">_xlfn.RRI(2+$DT$2,$DT$2*(BC20)+(1-$DT$2)*(BD20),(BF20))</f>
        <v>0.20157854170184608</v>
      </c>
      <c r="ES20" s="127">
        <f ca="1">ER20-EG20+EQ20</f>
        <v>6.2679137405896812E-2</v>
      </c>
      <c r="EU20" s="361" t="e">
        <f ca="1">_xlfn.RRI(2+$DT$2,($DT$2*BY20+(1-$DT$2)*BZ20),CF20)</f>
        <v>#VALUE!</v>
      </c>
      <c r="EV20" s="127" t="e">
        <f ca="1">EJ20-EU20</f>
        <v>#VALUE!</v>
      </c>
      <c r="EX20" s="292"/>
      <c r="EY20" s="292"/>
      <c r="EZ20" s="292"/>
      <c r="FA20" s="292"/>
      <c r="FB20" s="292"/>
      <c r="FC20" s="292"/>
      <c r="FD20" s="292"/>
      <c r="FE20" s="292"/>
      <c r="FF20" s="296">
        <v>0.2</v>
      </c>
      <c r="FG20" s="296">
        <v>-0.2</v>
      </c>
      <c r="FH20" s="295">
        <f>FF20-FG20</f>
        <v>0.4</v>
      </c>
      <c r="FI20" s="298">
        <f>FT20/CF20-1</f>
        <v>0.30000000000000004</v>
      </c>
      <c r="FJ20" s="298">
        <f>FU20/CF20-1</f>
        <v>-0.30000000000000004</v>
      </c>
      <c r="FK20" s="295">
        <f>FI20-FJ20</f>
        <v>0.60000000000000009</v>
      </c>
      <c r="FL20" s="15">
        <f>FF20+FG20</f>
        <v>0</v>
      </c>
      <c r="FM20" s="15">
        <f>FJ20+FI20</f>
        <v>0</v>
      </c>
      <c r="FN20" s="15" t="e">
        <f ca="1">EK20+FF20/3+FI20/3</f>
        <v>#VALUE!</v>
      </c>
      <c r="FO20" s="15" t="e">
        <f ca="1">EK20+FG20/3+FJ20/3</f>
        <v>#VALUE!</v>
      </c>
      <c r="FP20" s="300" t="e">
        <f ca="1">EK20+FL20/3+FM20/3</f>
        <v>#VALUE!</v>
      </c>
      <c r="FQ20" s="15" t="e">
        <f ca="1">EK20</f>
        <v>#VALUE!</v>
      </c>
      <c r="FR20" s="300" t="e">
        <f ca="1">FP20-FQ20</f>
        <v>#VALUE!</v>
      </c>
      <c r="FS20" s="15" t="e">
        <f ca="1">FN20-FO20</f>
        <v>#VALUE!</v>
      </c>
      <c r="FT20" s="294">
        <v>26</v>
      </c>
      <c r="FU20" s="294">
        <v>14</v>
      </c>
    </row>
    <row r="21" spans="2:178" x14ac:dyDescent="0.25">
      <c r="B21" s="9" t="s">
        <v>52</v>
      </c>
      <c r="C21" s="9"/>
      <c r="D21" s="142" t="s">
        <v>40</v>
      </c>
      <c r="E21" s="290">
        <v>1</v>
      </c>
      <c r="F21" s="413">
        <v>45994</v>
      </c>
      <c r="G21" s="392"/>
      <c r="H21" s="246" t="e" cm="1">
        <f t="array" aca="1" ref="H21" ca="1">_xll.BQL($B21, "px_last", "dates=" &amp; _xll.BQL.DATE($D$2))/100</f>
        <v>#VALUE!</v>
      </c>
      <c r="I21" s="25">
        <v>527</v>
      </c>
      <c r="J21" s="25">
        <v>-3949</v>
      </c>
      <c r="K21" s="88">
        <v>11804</v>
      </c>
      <c r="L21" s="392"/>
      <c r="M21" s="76">
        <f>K21+J21</f>
        <v>7855</v>
      </c>
      <c r="N21" s="89" t="e">
        <f ca="1">I21*H21+M21+L21</f>
        <v>#VALUE!</v>
      </c>
      <c r="O21" s="396">
        <v>7428</v>
      </c>
      <c r="P21" s="396">
        <v>8009</v>
      </c>
      <c r="Q21" s="396">
        <v>8494</v>
      </c>
      <c r="R21" s="396">
        <v>8986</v>
      </c>
      <c r="S21" s="396">
        <v>9659.1734500000002</v>
      </c>
      <c r="T21" s="396">
        <v>10357.270659169542</v>
      </c>
      <c r="U21" s="396">
        <v>11113.277096985054</v>
      </c>
      <c r="V21" s="396">
        <v>11932.294503048175</v>
      </c>
      <c r="W21" s="396">
        <v>12819.889107750785</v>
      </c>
      <c r="X21" s="90">
        <v>0.87</v>
      </c>
      <c r="Y21" s="90">
        <v>0.87</v>
      </c>
      <c r="Z21" s="90">
        <v>0.87</v>
      </c>
      <c r="AA21" s="90">
        <v>0.87</v>
      </c>
      <c r="AB21" s="90">
        <v>0.87</v>
      </c>
      <c r="AC21" s="90">
        <v>0.87</v>
      </c>
      <c r="AD21" s="90">
        <v>0.87</v>
      </c>
      <c r="AE21" s="90">
        <v>0.87</v>
      </c>
      <c r="AF21" s="90">
        <v>0.87</v>
      </c>
      <c r="AG21" s="417">
        <f t="shared" ref="AG21:AO21" si="108">X21*O21</f>
        <v>6462.36</v>
      </c>
      <c r="AH21" s="417">
        <f t="shared" si="108"/>
        <v>6967.83</v>
      </c>
      <c r="AI21" s="417">
        <f t="shared" si="108"/>
        <v>7389.78</v>
      </c>
      <c r="AJ21" s="417">
        <f t="shared" si="108"/>
        <v>7817.82</v>
      </c>
      <c r="AK21" s="417">
        <f t="shared" si="108"/>
        <v>8403.480901500001</v>
      </c>
      <c r="AL21" s="417">
        <f t="shared" si="108"/>
        <v>9010.8254734775019</v>
      </c>
      <c r="AM21" s="417">
        <f t="shared" si="108"/>
        <v>9668.5510743769973</v>
      </c>
      <c r="AN21" s="417">
        <f t="shared" si="108"/>
        <v>10381.096217651912</v>
      </c>
      <c r="AO21" s="417">
        <f t="shared" si="108"/>
        <v>11153.303523743183</v>
      </c>
      <c r="AP21" s="399">
        <v>3.1779999999999999</v>
      </c>
      <c r="AQ21" s="399">
        <v>3.2389999999999999</v>
      </c>
      <c r="AR21" s="399">
        <v>3.6349999999999998</v>
      </c>
      <c r="AS21" s="399">
        <v>4.2060000000000004</v>
      </c>
      <c r="AT21" s="399">
        <v>4.6016561645683751</v>
      </c>
      <c r="AU21" s="399">
        <v>5.1498970810976781</v>
      </c>
      <c r="AV21" s="399">
        <v>5.9086919214913722</v>
      </c>
      <c r="AW21" s="399">
        <v>6.7569185031844068</v>
      </c>
      <c r="AX21" s="399">
        <v>7.7070950499038489</v>
      </c>
      <c r="AY21" s="418">
        <f t="shared" ref="AY21:BG21" si="109">AP21</f>
        <v>3.1779999999999999</v>
      </c>
      <c r="AZ21" s="418">
        <f t="shared" si="109"/>
        <v>3.2389999999999999</v>
      </c>
      <c r="BA21" s="418">
        <f t="shared" si="109"/>
        <v>3.6349999999999998</v>
      </c>
      <c r="BB21" s="418">
        <f t="shared" si="109"/>
        <v>4.2060000000000004</v>
      </c>
      <c r="BC21" s="418">
        <f t="shared" si="109"/>
        <v>4.6016561645683751</v>
      </c>
      <c r="BD21" s="418">
        <f t="shared" si="109"/>
        <v>5.1498970810976781</v>
      </c>
      <c r="BE21" s="418">
        <f t="shared" si="109"/>
        <v>5.9086919214913722</v>
      </c>
      <c r="BF21" s="418">
        <f t="shared" si="109"/>
        <v>6.7569185031844068</v>
      </c>
      <c r="BG21" s="418">
        <f t="shared" si="109"/>
        <v>7.7070950499038489</v>
      </c>
      <c r="BH21" s="400" t="e">
        <f t="shared" ref="BH21:BN21" ca="1" si="110">$N21/Q21</f>
        <v>#VALUE!</v>
      </c>
      <c r="BI21" s="400" t="e">
        <f t="shared" ca="1" si="110"/>
        <v>#VALUE!</v>
      </c>
      <c r="BJ21" s="400" t="e">
        <f t="shared" ca="1" si="110"/>
        <v>#VALUE!</v>
      </c>
      <c r="BK21" s="400" t="e">
        <f t="shared" ca="1" si="110"/>
        <v>#VALUE!</v>
      </c>
      <c r="BL21" s="400" t="e">
        <f t="shared" ca="1" si="110"/>
        <v>#VALUE!</v>
      </c>
      <c r="BM21" s="400" t="e">
        <f t="shared" ca="1" si="110"/>
        <v>#VALUE!</v>
      </c>
      <c r="BN21" s="400" t="e">
        <f t="shared" ca="1" si="110"/>
        <v>#VALUE!</v>
      </c>
      <c r="BO21" s="400" t="e">
        <f ca="1">$N21/AK21</f>
        <v>#VALUE!</v>
      </c>
      <c r="BP21" s="400" t="e">
        <f ca="1">$N21/AL21</f>
        <v>#VALUE!</v>
      </c>
      <c r="BQ21" s="400" t="e">
        <f ca="1">$N21/AM21</f>
        <v>#VALUE!</v>
      </c>
      <c r="BR21" s="400" t="e">
        <f ca="1">$N21/AN21</f>
        <v>#VALUE!</v>
      </c>
      <c r="BS21" s="400" t="e">
        <f ca="1">$N21/AO21</f>
        <v>#VALUE!</v>
      </c>
      <c r="BT21" s="400" t="e">
        <f ca="1">$H21/AT21</f>
        <v>#VALUE!</v>
      </c>
      <c r="BU21" s="400" t="e">
        <f ca="1">$H21/AU21</f>
        <v>#VALUE!</v>
      </c>
      <c r="BV21" s="400" t="e">
        <f ca="1">$H21/AV21</f>
        <v>#VALUE!</v>
      </c>
      <c r="BW21" s="400" t="e">
        <f ca="1">$H21/AW21</f>
        <v>#VALUE!</v>
      </c>
      <c r="BX21" s="400" t="e">
        <f ca="1">$H21/AX21</f>
        <v>#VALUE!</v>
      </c>
      <c r="BY21" s="8" t="e">
        <f ca="1">$H21/BC21</f>
        <v>#VALUE!</v>
      </c>
      <c r="BZ21" s="400" t="e">
        <f ca="1">$H21/BD21</f>
        <v>#VALUE!</v>
      </c>
      <c r="CA21" s="400" t="e">
        <f ca="1">$H21/BE21</f>
        <v>#VALUE!</v>
      </c>
      <c r="CB21" s="400" t="e">
        <f ca="1">$H21/BF21</f>
        <v>#VALUE!</v>
      </c>
      <c r="CC21" s="400" t="e">
        <f ca="1">$H21/BG21</f>
        <v>#VALUE!</v>
      </c>
      <c r="CD21" s="82">
        <v>22</v>
      </c>
      <c r="CE21" s="168">
        <v>22</v>
      </c>
      <c r="CF21" s="82">
        <v>22</v>
      </c>
      <c r="CG21" s="82">
        <v>22</v>
      </c>
      <c r="CH21" s="82">
        <v>24</v>
      </c>
      <c r="CI21" s="91"/>
      <c r="CJ21" s="91"/>
      <c r="CK21" s="91"/>
      <c r="CL21" s="91"/>
      <c r="CM21" s="91"/>
      <c r="CN21" s="92">
        <f>CD21*BD21</f>
        <v>113.29773578414891</v>
      </c>
      <c r="CO21" s="92">
        <f>CE21*BE21</f>
        <v>129.99122227281018</v>
      </c>
      <c r="CP21" s="92">
        <f>CF21*BF21</f>
        <v>148.65220707005696</v>
      </c>
      <c r="CQ21" s="92">
        <f>CG21*BG21</f>
        <v>169.55609109788469</v>
      </c>
      <c r="CR21" s="93"/>
      <c r="CS21" s="93"/>
      <c r="CT21" s="93"/>
      <c r="CU21" s="93"/>
      <c r="CV21" s="93"/>
      <c r="CW21" s="93"/>
      <c r="CX21" s="92"/>
      <c r="CY21" s="92"/>
      <c r="CZ21" s="92"/>
      <c r="DA21" s="92"/>
      <c r="DB21" s="92"/>
      <c r="DC21" s="243">
        <v>509.24246042280845</v>
      </c>
      <c r="DD21" s="243">
        <v>477.56504861153945</v>
      </c>
      <c r="DE21" s="243">
        <v>452.12571712642205</v>
      </c>
      <c r="DF21" s="243">
        <v>429.72616729697756</v>
      </c>
      <c r="DG21" s="243">
        <v>408.66850662311367</v>
      </c>
      <c r="DH21" s="94"/>
      <c r="DI21" s="94"/>
      <c r="DJ21" s="94"/>
      <c r="DK21" s="94"/>
      <c r="DL21" s="94"/>
      <c r="DM21" s="93"/>
      <c r="DN21" s="93"/>
      <c r="DO21" s="93">
        <v>1.6763268374492155</v>
      </c>
      <c r="DP21" s="93">
        <v>1.9279932953802303</v>
      </c>
      <c r="DQ21" s="93">
        <v>2.2094085348114305</v>
      </c>
      <c r="DR21" s="93">
        <v>2.5236532931515163</v>
      </c>
      <c r="DS21" s="93">
        <v>2.8745860667184213</v>
      </c>
      <c r="DT21" s="96" t="e">
        <f ca="1">_xlfn.RRI(DT$2,$H21,CN21+$DO21*$DT$2)</f>
        <v>#VALUE!</v>
      </c>
      <c r="DU21" s="96" t="e">
        <f ca="1">_xlfn.RRI(DU$2,$H21,CO21+$DO21*$DT$2+SUM($DP21:DP21))</f>
        <v>#VALUE!</v>
      </c>
      <c r="DV21" s="95" t="e">
        <f ca="1">_xlfn.RRI(DV$2,$H21,CP21+$DO21*$DT$2+SUM($DP21:DQ21))</f>
        <v>#VALUE!</v>
      </c>
      <c r="DW21" s="95" t="e">
        <f ca="1">_xlfn.RRI(DW$2,$H21,CQ21+$DO21*$DT$2+SUM($DP21:DR21))</f>
        <v>#VALUE!</v>
      </c>
      <c r="DX21" s="171" t="e">
        <f ca="1">SUM(CN21,$DO21:DO21)/$H21</f>
        <v>#VALUE!</v>
      </c>
      <c r="DY21" s="132" t="e">
        <f ca="1">SUM(CO21,$DO21:DP21)/$H21</f>
        <v>#VALUE!</v>
      </c>
      <c r="DZ21" s="132" t="e">
        <f ca="1">SUM(CP21,$DO21:DQ21)/$H21</f>
        <v>#VALUE!</v>
      </c>
      <c r="EA21" s="132" t="e">
        <f ca="1">SUM(CQ21,$DO21:DR21)/$H21</f>
        <v>#VALUE!</v>
      </c>
      <c r="EB21" s="96" cm="1">
        <f t="array" ref="EB21">_xll.BDP(""&amp;$B21&amp;"","CHG_PCT_1M")/100</f>
        <v>2.19075E-2</v>
      </c>
      <c r="EC21" s="95" cm="1">
        <f t="array" ref="EC21">_xll.BDP(""&amp;$B21&amp;"","CHG_PCT_3M")/100</f>
        <v>5.0500450000000002E-2</v>
      </c>
      <c r="ED21" s="231" cm="1">
        <f t="array" ref="ED21">_xll.BDP(""&amp;$B21&amp;"","CHG_PCT_6M")/100</f>
        <v>8.6588239999999997E-2</v>
      </c>
      <c r="EE21" s="363">
        <f ca="1">_xlfn.RRI(2+$DT$2,$DT$2*S21+(1-$DT$2)*T21,V21)</f>
        <v>7.285840513684616E-2</v>
      </c>
      <c r="EF21" s="175">
        <f ca="1">EG21-EE21</f>
        <v>5.3826734433293222E-3</v>
      </c>
      <c r="EG21" s="363">
        <f ca="1">_xlfn.RRI(2+$DT$2,$DT$2*(BC21*DC21)+(1-$DT$2)*(BD21*DD21),(BF21*DF21))</f>
        <v>7.8241078580175483E-2</v>
      </c>
      <c r="EH21" s="6">
        <f ca="1">EI21-EG21</f>
        <v>6.0709842694599336E-2</v>
      </c>
      <c r="EI21" s="363">
        <f ca="1">ER21+EQ21</f>
        <v>0.13895092127477482</v>
      </c>
      <c r="EJ21" s="6" t="e">
        <f ca="1">EK21-EI21</f>
        <v>#VALUE!</v>
      </c>
      <c r="EK21" s="231" t="e">
        <f ca="1">DV21</f>
        <v>#VALUE!</v>
      </c>
      <c r="EL21" s="95">
        <f>_xlfn.RRI(3,AK21,AN21)</f>
        <v>7.2987509209937906E-2</v>
      </c>
      <c r="EM21" s="231">
        <f>_xlfn.RRI(3,BC21,BF21)</f>
        <v>0.13661008520515905</v>
      </c>
      <c r="EN21" s="163" cm="1">
        <f t="array" ref="EN21">_xll.BDP(B21,"AVG_DAILY_VALUE_TRADED_3M")/10^6</f>
        <v>10396.469999999999</v>
      </c>
      <c r="EQ21" s="361">
        <f ca="1">IFERROR(AVERAGE(DP21:DQ21)/H21,0)</f>
        <v>0</v>
      </c>
      <c r="ER21" s="361">
        <f ca="1">_xlfn.RRI(2+$DT$2,$DT$2*(BC21)+(1-$DT$2)*(BD21),(BF21))</f>
        <v>0.13895092127477482</v>
      </c>
      <c r="ES21" s="127">
        <f ca="1">ER21-EG21+EQ21</f>
        <v>6.0709842694599336E-2</v>
      </c>
      <c r="EU21" s="361" t="e">
        <f ca="1">_xlfn.RRI(2+$DT$2,($DT$2*BY21+(1-$DT$2)*BZ21),CF21)</f>
        <v>#VALUE!</v>
      </c>
      <c r="EV21" s="127" t="e">
        <f ca="1">EJ21-EU21</f>
        <v>#VALUE!</v>
      </c>
      <c r="EX21" s="292"/>
      <c r="EY21" s="292"/>
      <c r="EZ21" s="292"/>
      <c r="FA21" s="292"/>
      <c r="FB21" s="292"/>
      <c r="FC21" s="292"/>
      <c r="FD21" s="292"/>
      <c r="FE21" s="292"/>
      <c r="FF21" s="296">
        <v>0.15</v>
      </c>
      <c r="FG21" s="296">
        <v>-0.15</v>
      </c>
      <c r="FH21" s="295">
        <f>FF21-FG21</f>
        <v>0.3</v>
      </c>
      <c r="FI21" s="298">
        <f>FT21/CF21-1</f>
        <v>0.18181818181818188</v>
      </c>
      <c r="FJ21" s="298">
        <f>FU21/CF21-1</f>
        <v>-0.22727272727272729</v>
      </c>
      <c r="FK21" s="295">
        <f>FI21-FJ21</f>
        <v>0.40909090909090917</v>
      </c>
      <c r="FL21" s="15">
        <f>FF21+FG21</f>
        <v>0</v>
      </c>
      <c r="FM21" s="15">
        <f>FJ21+FI21</f>
        <v>-4.5454545454545414E-2</v>
      </c>
      <c r="FN21" s="15" t="e">
        <f ca="1">EK21+FF21/3+FI21/3</f>
        <v>#VALUE!</v>
      </c>
      <c r="FO21" s="15" t="e">
        <f ca="1">EK21+FG21/3+FJ21/3</f>
        <v>#VALUE!</v>
      </c>
      <c r="FP21" s="300" t="e">
        <f ca="1">EK21+FL21/3+FM21/3</f>
        <v>#VALUE!</v>
      </c>
      <c r="FQ21" s="15" t="e">
        <f ca="1">EK21</f>
        <v>#VALUE!</v>
      </c>
      <c r="FR21" s="300" t="e">
        <f ca="1">FP21-FQ21</f>
        <v>#VALUE!</v>
      </c>
      <c r="FS21" s="15" t="e">
        <f ca="1">FN21-FO21</f>
        <v>#VALUE!</v>
      </c>
      <c r="FT21" s="294">
        <v>26</v>
      </c>
      <c r="FU21" s="294">
        <v>17</v>
      </c>
      <c r="FV21" t="s">
        <v>58</v>
      </c>
    </row>
    <row r="22" spans="2:178" ht="15.75" thickBot="1" x14ac:dyDescent="0.3">
      <c r="B22" s="10" t="s">
        <v>102</v>
      </c>
      <c r="C22" s="10"/>
      <c r="D22" s="142" t="s">
        <v>101</v>
      </c>
      <c r="E22" s="290">
        <v>1</v>
      </c>
      <c r="F22" s="428">
        <v>46057</v>
      </c>
      <c r="G22" s="392"/>
      <c r="H22" s="411" t="str" cm="1">
        <f t="array" aca="1" ref="H22" ca="1">_xll.BQL($B22, "px_last", "dates=" &amp; _xll.BQL.DATE($D$2))</f>
        <v>#N/A Connection</v>
      </c>
      <c r="I22" s="25">
        <v>304.10249999999996</v>
      </c>
      <c r="J22" s="25">
        <v>-1847</v>
      </c>
      <c r="K22" s="2">
        <v>11388</v>
      </c>
      <c r="L22" s="392"/>
      <c r="M22" s="80">
        <f t="shared" si="59"/>
        <v>9541</v>
      </c>
      <c r="N22" s="81" t="e">
        <f t="shared" ca="1" si="60"/>
        <v>#VALUE!</v>
      </c>
      <c r="O22" s="396">
        <v>11843</v>
      </c>
      <c r="P22" s="396">
        <v>12497</v>
      </c>
      <c r="Q22" s="396">
        <v>14208</v>
      </c>
      <c r="R22" s="396">
        <v>15336</v>
      </c>
      <c r="S22" s="396">
        <v>16719.28528578785</v>
      </c>
      <c r="T22" s="396">
        <v>18035.782444580334</v>
      </c>
      <c r="U22" s="396">
        <v>19461.908243850739</v>
      </c>
      <c r="V22" s="396">
        <v>21007.252143631718</v>
      </c>
      <c r="W22" s="396">
        <v>22682.276235256446</v>
      </c>
      <c r="X22" s="21">
        <v>0.7</v>
      </c>
      <c r="Y22" s="21">
        <v>0.7</v>
      </c>
      <c r="Z22" s="21">
        <v>0.7</v>
      </c>
      <c r="AA22" s="21">
        <v>0.7</v>
      </c>
      <c r="AB22" s="21">
        <v>0.7</v>
      </c>
      <c r="AC22" s="21">
        <v>0.7</v>
      </c>
      <c r="AD22" s="21">
        <v>0.7</v>
      </c>
      <c r="AE22" s="21">
        <v>0.7</v>
      </c>
      <c r="AF22" s="21">
        <v>0.7</v>
      </c>
      <c r="AG22" s="417">
        <f t="shared" si="61"/>
        <v>8290.1</v>
      </c>
      <c r="AH22" s="417">
        <f t="shared" si="61"/>
        <v>8747.9</v>
      </c>
      <c r="AI22" s="417">
        <f t="shared" si="61"/>
        <v>9945.5999999999985</v>
      </c>
      <c r="AJ22" s="417">
        <f t="shared" si="61"/>
        <v>10735.199999999999</v>
      </c>
      <c r="AK22" s="417">
        <f t="shared" si="61"/>
        <v>11703.499700051494</v>
      </c>
      <c r="AL22" s="417">
        <f t="shared" si="61"/>
        <v>12625.047711206233</v>
      </c>
      <c r="AM22" s="417">
        <f t="shared" si="61"/>
        <v>13623.335770695518</v>
      </c>
      <c r="AN22" s="417">
        <f t="shared" si="61"/>
        <v>14705.076500542202</v>
      </c>
      <c r="AO22" s="417">
        <f t="shared" si="61"/>
        <v>15877.593364679511</v>
      </c>
      <c r="AP22" s="399">
        <v>11.773940345368917</v>
      </c>
      <c r="AQ22" s="399">
        <v>12.599560990906241</v>
      </c>
      <c r="AR22" s="399">
        <v>15.703751202308434</v>
      </c>
      <c r="AS22" s="399">
        <v>18.021314314471585</v>
      </c>
      <c r="AT22" s="399">
        <v>20.193226708023271</v>
      </c>
      <c r="AU22" s="399">
        <v>22.779020612762764</v>
      </c>
      <c r="AV22" s="399">
        <v>25.648625528291657</v>
      </c>
      <c r="AW22" s="399">
        <v>28.872376511637928</v>
      </c>
      <c r="AX22" s="399">
        <v>32.492214178098571</v>
      </c>
      <c r="AY22" s="418">
        <f t="shared" ref="AY22:BG22" si="111">AP22</f>
        <v>11.773940345368917</v>
      </c>
      <c r="AZ22" s="418">
        <f t="shared" si="111"/>
        <v>12.599560990906241</v>
      </c>
      <c r="BA22" s="418">
        <f t="shared" si="111"/>
        <v>15.703751202308434</v>
      </c>
      <c r="BB22" s="418">
        <f t="shared" si="111"/>
        <v>18.021314314471585</v>
      </c>
      <c r="BC22" s="418">
        <f t="shared" si="111"/>
        <v>20.193226708023271</v>
      </c>
      <c r="BD22" s="418">
        <f t="shared" si="111"/>
        <v>22.779020612762764</v>
      </c>
      <c r="BE22" s="418">
        <f t="shared" si="111"/>
        <v>25.648625528291657</v>
      </c>
      <c r="BF22" s="418">
        <f t="shared" si="111"/>
        <v>28.872376511637928</v>
      </c>
      <c r="BG22" s="418">
        <f t="shared" si="111"/>
        <v>32.492214178098571</v>
      </c>
      <c r="BH22" s="400" t="e">
        <f t="shared" ca="1" si="71"/>
        <v>#VALUE!</v>
      </c>
      <c r="BI22" s="400" t="e">
        <f t="shared" ca="1" si="71"/>
        <v>#VALUE!</v>
      </c>
      <c r="BJ22" s="400" t="e">
        <f t="shared" ca="1" si="71"/>
        <v>#VALUE!</v>
      </c>
      <c r="BK22" s="400" t="e">
        <f t="shared" ca="1" si="71"/>
        <v>#VALUE!</v>
      </c>
      <c r="BL22" s="400" t="e">
        <f t="shared" ca="1" si="71"/>
        <v>#VALUE!</v>
      </c>
      <c r="BM22" s="400" t="e">
        <f t="shared" ca="1" si="71"/>
        <v>#VALUE!</v>
      </c>
      <c r="BN22" s="400" t="e">
        <f t="shared" ca="1" si="71"/>
        <v>#VALUE!</v>
      </c>
      <c r="BO22" s="400" t="e">
        <f ca="1">$N22/AK22*0.9</f>
        <v>#VALUE!</v>
      </c>
      <c r="BP22" s="400" t="e">
        <f ca="1">$N22/AL22*0.9</f>
        <v>#VALUE!</v>
      </c>
      <c r="BQ22" s="400" t="e">
        <f ca="1">$N22/AM22*0.9</f>
        <v>#VALUE!</v>
      </c>
      <c r="BR22" s="400" t="e">
        <f ca="1">$N22/AN22*0.9</f>
        <v>#VALUE!</v>
      </c>
      <c r="BS22" s="400" t="e">
        <f ca="1">$N22/AO22*0.9</f>
        <v>#VALUE!</v>
      </c>
      <c r="BT22" s="400" t="e">
        <f t="shared" ca="1" si="73"/>
        <v>#VALUE!</v>
      </c>
      <c r="BU22" s="400" t="e">
        <f t="shared" ca="1" si="73"/>
        <v>#VALUE!</v>
      </c>
      <c r="BV22" s="400" t="e">
        <f t="shared" ca="1" si="73"/>
        <v>#VALUE!</v>
      </c>
      <c r="BW22" s="400" t="e">
        <f t="shared" ca="1" si="73"/>
        <v>#VALUE!</v>
      </c>
      <c r="BX22" s="400" t="e">
        <f t="shared" ca="1" si="73"/>
        <v>#VALUE!</v>
      </c>
      <c r="BY22" s="8" t="e">
        <f t="shared" ca="1" si="74"/>
        <v>#VALUE!</v>
      </c>
      <c r="BZ22" s="400" t="e">
        <f t="shared" ca="1" si="74"/>
        <v>#VALUE!</v>
      </c>
      <c r="CA22" s="400" t="e">
        <f t="shared" ca="1" si="74"/>
        <v>#VALUE!</v>
      </c>
      <c r="CB22" s="400" t="e">
        <f t="shared" ca="1" si="74"/>
        <v>#VALUE!</v>
      </c>
      <c r="CC22" s="400" t="e">
        <f t="shared" ca="1" si="74"/>
        <v>#VALUE!</v>
      </c>
      <c r="CD22" s="82">
        <v>22</v>
      </c>
      <c r="CE22" s="168">
        <v>22</v>
      </c>
      <c r="CF22" s="82">
        <v>22</v>
      </c>
      <c r="CG22" s="82">
        <v>22</v>
      </c>
      <c r="CH22" s="82">
        <v>24.5</v>
      </c>
      <c r="CI22" s="46"/>
      <c r="CJ22" s="46"/>
      <c r="CK22" s="46"/>
      <c r="CL22" s="46"/>
      <c r="CM22" s="46"/>
      <c r="CN22" s="140">
        <f t="shared" si="75"/>
        <v>501.13845348078081</v>
      </c>
      <c r="CO22" s="140">
        <f t="shared" si="75"/>
        <v>564.26976162241647</v>
      </c>
      <c r="CP22" s="140">
        <f t="shared" si="75"/>
        <v>635.19228325603444</v>
      </c>
      <c r="CQ22" s="140">
        <f t="shared" si="75"/>
        <v>714.82871191816855</v>
      </c>
      <c r="CR22" s="7"/>
      <c r="CS22" s="7"/>
      <c r="CT22" s="7"/>
      <c r="CU22" s="7"/>
      <c r="CV22" s="7"/>
      <c r="CW22" s="7"/>
      <c r="CX22" s="41"/>
      <c r="CY22" s="41"/>
      <c r="CZ22" s="41"/>
      <c r="DA22" s="41"/>
      <c r="DB22" s="19"/>
      <c r="DC22" s="60">
        <v>293.77508929681261</v>
      </c>
      <c r="DD22" s="60">
        <v>283.34014036321844</v>
      </c>
      <c r="DE22" s="60">
        <v>273.34106730260805</v>
      </c>
      <c r="DF22" s="60">
        <v>263.77858512867772</v>
      </c>
      <c r="DG22" s="60">
        <v>254.64131882533576</v>
      </c>
      <c r="DH22" s="40"/>
      <c r="DI22" s="40"/>
      <c r="DJ22" s="40"/>
      <c r="DK22" s="40"/>
      <c r="DL22" s="40"/>
      <c r="DM22" s="7"/>
      <c r="DN22" s="7"/>
      <c r="DO22" s="7">
        <v>4.0704000000000002</v>
      </c>
      <c r="DP22" s="7">
        <v>4.3146240000000002</v>
      </c>
      <c r="DQ22" s="7">
        <v>4.5735014400000003</v>
      </c>
      <c r="DR22" s="7">
        <v>4.8479115264000008</v>
      </c>
      <c r="DS22" s="7">
        <v>5.1387862179840011</v>
      </c>
      <c r="DT22" s="96" t="e">
        <f t="shared" ca="1" si="76"/>
        <v>#VALUE!</v>
      </c>
      <c r="DU22" s="96" t="e">
        <f ca="1">_xlfn.RRI(DU$2,$H22,CO22+$DO22*$DT$2+SUM($DP22:DP22))</f>
        <v>#VALUE!</v>
      </c>
      <c r="DV22" s="95" t="e">
        <f ca="1">_xlfn.RRI(DV$2,$H22,CP22+$DO22*$DT$2+SUM($DP22:DQ22))</f>
        <v>#VALUE!</v>
      </c>
      <c r="DW22" s="95" t="e">
        <f ca="1">_xlfn.RRI(DW$2,$H22,CQ22+$DO22*$DT$2+SUM($DP22:DR22))</f>
        <v>#VALUE!</v>
      </c>
      <c r="DX22" s="171" t="e">
        <f ca="1">SUM(CN22,$DO22:DO22)/$H22</f>
        <v>#VALUE!</v>
      </c>
      <c r="DY22" s="132" t="e">
        <f ca="1">SUM(CO22,$DO22:DP22)/$H22</f>
        <v>#VALUE!</v>
      </c>
      <c r="DZ22" s="132" t="e">
        <f ca="1">SUM(CP22,$DO22:DQ22)/$H22</f>
        <v>#VALUE!</v>
      </c>
      <c r="EA22" s="132" t="e">
        <f ca="1">SUM(CQ22,$DO22:DR22)/$H22</f>
        <v>#VALUE!</v>
      </c>
      <c r="EB22" s="96" cm="1">
        <f t="array" ref="EB22">_xll.BDP(""&amp;$B22&amp;"","CHG_PCT_1M")/100</f>
        <v>5.3556239999999998E-3</v>
      </c>
      <c r="EC22" s="95" cm="1">
        <f t="array" ref="EC22">_xll.BDP(""&amp;$B22&amp;"","CHG_PCT_3M")/100</f>
        <v>-6.6296720000000003E-2</v>
      </c>
      <c r="ED22" s="231" cm="1">
        <f t="array" ref="ED22">_xll.BDP(""&amp;$B22&amp;"","CHG_PCT_6M")/100</f>
        <v>-0.14169890000000002</v>
      </c>
      <c r="EE22" s="363">
        <f t="shared" ca="1" si="77"/>
        <v>7.8829875935049865E-2</v>
      </c>
      <c r="EF22" s="175">
        <f t="shared" ca="1" si="78"/>
        <v>7.4442189919114998E-3</v>
      </c>
      <c r="EG22" s="363">
        <f t="shared" ca="1" si="79"/>
        <v>8.6274094926961364E-2</v>
      </c>
      <c r="EH22" s="6">
        <f t="shared" ca="1" si="80"/>
        <v>3.9252140931155033E-2</v>
      </c>
      <c r="EI22" s="363">
        <f t="shared" ca="1" si="81"/>
        <v>0.1255262358581164</v>
      </c>
      <c r="EJ22" s="6" t="e">
        <f t="shared" ca="1" si="82"/>
        <v>#VALUE!</v>
      </c>
      <c r="EK22" s="231" t="e">
        <f t="shared" ca="1" si="83"/>
        <v>#VALUE!</v>
      </c>
      <c r="EL22" s="6">
        <f t="shared" si="84"/>
        <v>7.907222304294681E-2</v>
      </c>
      <c r="EM22" s="194">
        <f t="shared" si="85"/>
        <v>0.12657195884134897</v>
      </c>
      <c r="EN22" s="163" cm="1">
        <f t="array" ref="EN22">_xll.BDP(B22,"AVG_DAILY_VALUE_TRADED_3M")/10^6</f>
        <v>849.00768000000005</v>
      </c>
      <c r="EQ22" s="361">
        <f t="shared" ca="1" si="86"/>
        <v>0</v>
      </c>
      <c r="ER22" s="361">
        <f t="shared" ca="1" si="87"/>
        <v>0.1255262358581164</v>
      </c>
      <c r="ES22" s="127">
        <f t="shared" ca="1" si="88"/>
        <v>3.9252140931155033E-2</v>
      </c>
      <c r="EU22" s="361" t="e">
        <f t="shared" ca="1" si="89"/>
        <v>#VALUE!</v>
      </c>
      <c r="EV22" s="127" t="e">
        <f t="shared" ca="1" si="90"/>
        <v>#VALUE!</v>
      </c>
      <c r="EX22" s="292"/>
      <c r="EY22" s="292"/>
      <c r="EZ22" s="292"/>
      <c r="FA22" s="292"/>
      <c r="FB22" s="292"/>
      <c r="FC22" s="292"/>
      <c r="FD22" s="292"/>
      <c r="FE22" s="292"/>
      <c r="FF22" s="296">
        <v>0.15</v>
      </c>
      <c r="FG22" s="296">
        <v>-0.15</v>
      </c>
      <c r="FH22" s="295">
        <f t="shared" si="91"/>
        <v>0.3</v>
      </c>
      <c r="FI22" s="298">
        <f t="shared" si="92"/>
        <v>0.18181818181818188</v>
      </c>
      <c r="FJ22" s="298">
        <f t="shared" si="93"/>
        <v>-0.22727272727272729</v>
      </c>
      <c r="FK22" s="295">
        <f t="shared" si="94"/>
        <v>0.40909090909090917</v>
      </c>
      <c r="FL22" s="15">
        <f t="shared" si="95"/>
        <v>0</v>
      </c>
      <c r="FM22" s="15">
        <f t="shared" si="96"/>
        <v>-4.5454545454545414E-2</v>
      </c>
      <c r="FN22" s="15" t="e">
        <f t="shared" ca="1" si="97"/>
        <v>#VALUE!</v>
      </c>
      <c r="FO22" s="15" t="e">
        <f t="shared" ca="1" si="98"/>
        <v>#VALUE!</v>
      </c>
      <c r="FP22" s="300" t="e">
        <f t="shared" ca="1" si="99"/>
        <v>#VALUE!</v>
      </c>
      <c r="FQ22" s="15" t="e">
        <f t="shared" ca="1" si="100"/>
        <v>#VALUE!</v>
      </c>
      <c r="FR22" s="300" t="e">
        <f t="shared" ca="1" si="101"/>
        <v>#VALUE!</v>
      </c>
      <c r="FS22" s="15" t="e">
        <f t="shared" ca="1" si="102"/>
        <v>#VALUE!</v>
      </c>
      <c r="FT22" s="294">
        <v>26</v>
      </c>
      <c r="FU22" s="294">
        <v>17</v>
      </c>
      <c r="FV22" s="63"/>
    </row>
    <row r="23" spans="2:178" ht="15.75" thickBot="1" x14ac:dyDescent="0.3">
      <c r="B23" s="10" t="s">
        <v>53</v>
      </c>
      <c r="C23" s="10"/>
      <c r="D23" s="142" t="s">
        <v>41</v>
      </c>
      <c r="E23" s="290">
        <v>1</v>
      </c>
      <c r="F23" s="413">
        <v>45995</v>
      </c>
      <c r="G23" s="392"/>
      <c r="H23" s="411" t="str" cm="1">
        <f t="array" aca="1" ref="H23" ca="1">_xll.BQL($B23, "px_last", "dates=" &amp; _xll.BQL.DATE($D$2))</f>
        <v>#N/A Connection</v>
      </c>
      <c r="I23" s="25">
        <v>73.400000000000006</v>
      </c>
      <c r="J23" s="25">
        <v>-385.3</v>
      </c>
      <c r="K23" s="2">
        <v>6403.8</v>
      </c>
      <c r="L23" s="392"/>
      <c r="M23" s="76">
        <f>K23+J23</f>
        <v>6018.5</v>
      </c>
      <c r="N23" s="89" t="e">
        <f ca="1">I23*H23+M23+L23</f>
        <v>#VALUE!</v>
      </c>
      <c r="O23" s="396">
        <v>2248.598</v>
      </c>
      <c r="P23" s="396">
        <v>2528.92</v>
      </c>
      <c r="Q23" s="396">
        <v>2856.1280000000002</v>
      </c>
      <c r="R23" s="396">
        <v>3134.4589999999998</v>
      </c>
      <c r="S23" s="396">
        <v>3563.4271203560747</v>
      </c>
      <c r="T23" s="396">
        <v>3995.7881449906677</v>
      </c>
      <c r="U23" s="396">
        <v>4421.8330334878192</v>
      </c>
      <c r="V23" s="396">
        <v>4903.8556984506058</v>
      </c>
      <c r="W23" s="396">
        <v>5431.2137722406387</v>
      </c>
      <c r="X23" s="21">
        <v>0.82</v>
      </c>
      <c r="Y23" s="21">
        <v>0.82</v>
      </c>
      <c r="Z23" s="21">
        <v>0.82</v>
      </c>
      <c r="AA23" s="21">
        <v>0.82</v>
      </c>
      <c r="AB23" s="21">
        <v>0.82</v>
      </c>
      <c r="AC23" s="21">
        <v>0.82</v>
      </c>
      <c r="AD23" s="21">
        <v>0.82</v>
      </c>
      <c r="AE23" s="21">
        <v>0.82</v>
      </c>
      <c r="AF23" s="21">
        <v>0.82</v>
      </c>
      <c r="AG23" s="417">
        <f t="shared" ref="AG23:AO23" si="112">X23*O23</f>
        <v>1843.8503599999999</v>
      </c>
      <c r="AH23" s="417">
        <f t="shared" si="112"/>
        <v>2073.7143999999998</v>
      </c>
      <c r="AI23" s="417">
        <f t="shared" si="112"/>
        <v>2342.0249600000002</v>
      </c>
      <c r="AJ23" s="417">
        <f t="shared" si="112"/>
        <v>2570.2563799999998</v>
      </c>
      <c r="AK23" s="417">
        <f t="shared" si="112"/>
        <v>2922.0102386919812</v>
      </c>
      <c r="AL23" s="417">
        <f t="shared" si="112"/>
        <v>3276.5462788923473</v>
      </c>
      <c r="AM23" s="417">
        <f t="shared" si="112"/>
        <v>3625.9030874600116</v>
      </c>
      <c r="AN23" s="417">
        <f t="shared" si="112"/>
        <v>4021.1616727294963</v>
      </c>
      <c r="AO23" s="417">
        <f t="shared" si="112"/>
        <v>4453.5952932373239</v>
      </c>
      <c r="AP23" s="399">
        <v>11.454571199901498</v>
      </c>
      <c r="AQ23" s="399">
        <v>13.519832671618046</v>
      </c>
      <c r="AR23" s="399">
        <v>15.2008358662614</v>
      </c>
      <c r="AS23" s="399">
        <v>17.283991857612609</v>
      </c>
      <c r="AT23" s="399">
        <v>20.642218910122146</v>
      </c>
      <c r="AU23" s="399">
        <v>24.577623249763132</v>
      </c>
      <c r="AV23" s="399">
        <v>28.698399821586928</v>
      </c>
      <c r="AW23" s="399">
        <v>33.570204622178508</v>
      </c>
      <c r="AX23" s="399">
        <v>39.147441288730015</v>
      </c>
      <c r="AY23" s="418">
        <f t="shared" ref="AY23:BG23" si="113">AP23</f>
        <v>11.454571199901498</v>
      </c>
      <c r="AZ23" s="418">
        <f t="shared" si="113"/>
        <v>13.519832671618046</v>
      </c>
      <c r="BA23" s="418">
        <f t="shared" si="113"/>
        <v>15.2008358662614</v>
      </c>
      <c r="BB23" s="418">
        <f t="shared" si="113"/>
        <v>17.283991857612609</v>
      </c>
      <c r="BC23" s="418">
        <f t="shared" si="113"/>
        <v>20.642218910122146</v>
      </c>
      <c r="BD23" s="418">
        <f t="shared" si="113"/>
        <v>24.577623249763132</v>
      </c>
      <c r="BE23" s="418">
        <f t="shared" si="113"/>
        <v>28.698399821586928</v>
      </c>
      <c r="BF23" s="418">
        <f t="shared" si="113"/>
        <v>33.570204622178508</v>
      </c>
      <c r="BG23" s="418">
        <f t="shared" si="113"/>
        <v>39.147441288730015</v>
      </c>
      <c r="BH23" s="400" t="e">
        <f t="shared" ref="BH23:BN24" ca="1" si="114">$N23/Q23</f>
        <v>#VALUE!</v>
      </c>
      <c r="BI23" s="400" t="e">
        <f t="shared" ca="1" si="114"/>
        <v>#VALUE!</v>
      </c>
      <c r="BJ23" s="400" t="e">
        <f t="shared" ca="1" si="114"/>
        <v>#VALUE!</v>
      </c>
      <c r="BK23" s="400" t="e">
        <f t="shared" ca="1" si="114"/>
        <v>#VALUE!</v>
      </c>
      <c r="BL23" s="400" t="e">
        <f t="shared" ca="1" si="114"/>
        <v>#VALUE!</v>
      </c>
      <c r="BM23" s="400" t="e">
        <f t="shared" ca="1" si="114"/>
        <v>#VALUE!</v>
      </c>
      <c r="BN23" s="400" t="e">
        <f t="shared" ca="1" si="114"/>
        <v>#VALUE!</v>
      </c>
      <c r="BO23" s="400" t="e">
        <f t="shared" ref="BO23:BS24" ca="1" si="115">$N23/AK23</f>
        <v>#VALUE!</v>
      </c>
      <c r="BP23" s="400" t="e">
        <f t="shared" ca="1" si="115"/>
        <v>#VALUE!</v>
      </c>
      <c r="BQ23" s="400" t="e">
        <f t="shared" ca="1" si="115"/>
        <v>#VALUE!</v>
      </c>
      <c r="BR23" s="400" t="e">
        <f t="shared" ca="1" si="115"/>
        <v>#VALUE!</v>
      </c>
      <c r="BS23" s="400" t="e">
        <f t="shared" ca="1" si="115"/>
        <v>#VALUE!</v>
      </c>
      <c r="BT23" s="400" t="e">
        <f t="shared" ref="BT23:BX24" ca="1" si="116">$H23/AT23</f>
        <v>#VALUE!</v>
      </c>
      <c r="BU23" s="400" t="e">
        <f t="shared" ca="1" si="116"/>
        <v>#VALUE!</v>
      </c>
      <c r="BV23" s="400" t="e">
        <f t="shared" ca="1" si="116"/>
        <v>#VALUE!</v>
      </c>
      <c r="BW23" s="400" t="e">
        <f t="shared" ca="1" si="116"/>
        <v>#VALUE!</v>
      </c>
      <c r="BX23" s="400" t="e">
        <f t="shared" ca="1" si="116"/>
        <v>#VALUE!</v>
      </c>
      <c r="BY23" s="8" t="e">
        <f t="shared" ref="BY23:CC24" ca="1" si="117">$H23/BC23</f>
        <v>#VALUE!</v>
      </c>
      <c r="BZ23" s="400" t="e">
        <f t="shared" ca="1" si="117"/>
        <v>#VALUE!</v>
      </c>
      <c r="CA23" s="400" t="e">
        <f t="shared" ca="1" si="117"/>
        <v>#VALUE!</v>
      </c>
      <c r="CB23" s="400" t="e">
        <f t="shared" ca="1" si="117"/>
        <v>#VALUE!</v>
      </c>
      <c r="CC23" s="400" t="e">
        <f t="shared" ca="1" si="117"/>
        <v>#VALUE!</v>
      </c>
      <c r="CD23" s="12">
        <v>27</v>
      </c>
      <c r="CE23" s="167">
        <v>27</v>
      </c>
      <c r="CF23" s="485">
        <v>27</v>
      </c>
      <c r="CG23" s="12">
        <v>27</v>
      </c>
      <c r="CH23" s="82">
        <v>27</v>
      </c>
      <c r="CI23" s="46"/>
      <c r="CJ23" s="46"/>
      <c r="CK23" s="46"/>
      <c r="CL23" s="46"/>
      <c r="CM23" s="46"/>
      <c r="CN23" s="43">
        <f t="shared" ref="CN23:CQ24" si="118">CD23*BD23</f>
        <v>663.59582774360456</v>
      </c>
      <c r="CO23" s="43">
        <f t="shared" si="118"/>
        <v>774.85679518284712</v>
      </c>
      <c r="CP23" s="43">
        <f t="shared" si="118"/>
        <v>906.39552479881968</v>
      </c>
      <c r="CQ23" s="43">
        <f t="shared" si="118"/>
        <v>1056.9809147957103</v>
      </c>
      <c r="CR23" s="7"/>
      <c r="CS23" s="7"/>
      <c r="CT23" s="7"/>
      <c r="CU23" s="7"/>
      <c r="CV23" s="7"/>
      <c r="CW23" s="7"/>
      <c r="CX23" s="19"/>
      <c r="CY23" s="19"/>
      <c r="CZ23" s="19"/>
      <c r="DA23" s="19"/>
      <c r="DB23" s="19"/>
      <c r="DC23" s="60">
        <v>73.579139850055498</v>
      </c>
      <c r="DD23" s="60">
        <v>71.114173513098464</v>
      </c>
      <c r="DE23" s="60">
        <v>68.477416346339652</v>
      </c>
      <c r="DF23" s="60">
        <v>65.921357809964348</v>
      </c>
      <c r="DG23" s="60">
        <v>63.434976870744357</v>
      </c>
      <c r="DH23" s="40"/>
      <c r="DI23" s="40"/>
      <c r="DJ23" s="40"/>
      <c r="DK23" s="40"/>
      <c r="DL23" s="40"/>
      <c r="DM23" s="7"/>
      <c r="DN23" s="7"/>
      <c r="DO23" s="7">
        <v>8.1999999999999993</v>
      </c>
      <c r="DP23" s="7">
        <v>9.6246396633542055</v>
      </c>
      <c r="DQ23" s="7">
        <v>11.232982722820703</v>
      </c>
      <c r="DR23" s="7">
        <v>13.131373342208613</v>
      </c>
      <c r="DS23" s="7">
        <v>15.301161846557303</v>
      </c>
      <c r="DT23" s="78" t="e">
        <f ca="1">_xlfn.RRI(DT$2,$H23,CN23+$DO23*$DT$2)</f>
        <v>#VALUE!</v>
      </c>
      <c r="DU23" s="78" t="e">
        <f ca="1">_xlfn.RRI(DU$2,$H23,CO23+$DO23*$DT$2+SUM($DP23:DP23))</f>
        <v>#VALUE!</v>
      </c>
      <c r="DV23" s="6" t="e">
        <f ca="1">_xlfn.RRI(DV$2,$H23,CP23+$DO23*$DT$2+SUM($DP23:DQ23))</f>
        <v>#VALUE!</v>
      </c>
      <c r="DW23" s="6" t="e">
        <f ca="1">_xlfn.RRI(DW$2,$H23,CQ23+$DO23*$DT$2+SUM($DP23:DR23))</f>
        <v>#VALUE!</v>
      </c>
      <c r="DX23" s="171" t="e">
        <f ca="1">SUM(CN23,$DO23:DO23)/$H23</f>
        <v>#VALUE!</v>
      </c>
      <c r="DY23" s="132" t="e">
        <f ca="1">SUM(CO23,$DO23:DP23)/$H23</f>
        <v>#VALUE!</v>
      </c>
      <c r="DZ23" s="132" t="e">
        <f ca="1">SUM(CP23,$DO23:DQ23)/$H23</f>
        <v>#VALUE!</v>
      </c>
      <c r="EA23" s="132" t="e">
        <f ca="1">SUM(CQ23,$DO23:DR23)/$H23</f>
        <v>#VALUE!</v>
      </c>
      <c r="EB23" s="78" cm="1">
        <f t="array" ref="EB23">_xll.BDP(""&amp;$B23&amp;"","CHG_PCT_1M")/100</f>
        <v>4.5001909999999999E-2</v>
      </c>
      <c r="EC23" s="6" cm="1">
        <f t="array" ref="EC23">_xll.BDP(""&amp;$B23&amp;"","CHG_PCT_3M")/100</f>
        <v>7.4704889999999996E-2</v>
      </c>
      <c r="ED23" s="194" cm="1">
        <f t="array" ref="ED23">_xll.BDP(""&amp;$B23&amp;"","CHG_PCT_6M")/100</f>
        <v>0.13943929999999999</v>
      </c>
      <c r="EE23" s="363">
        <f ca="1">_xlfn.RRI(2+$DT$2,$DT$2*S23+(1-$DT$2)*T23,V23)</f>
        <v>0.1100500268947413</v>
      </c>
      <c r="EF23" s="175">
        <f ca="1">EG23-EE23</f>
        <v>1.9630330701006837E-2</v>
      </c>
      <c r="EG23" s="363">
        <f ca="1">_xlfn.RRI(2+$DT$2,$DT$2*(BC23*DC23)+(1-$DT$2)*(BD23*DD23),(BF23*DF23))</f>
        <v>0.12968035759574814</v>
      </c>
      <c r="EH23" s="6">
        <f ca="1">EI23-EG23</f>
        <v>4.2057542864646802E-2</v>
      </c>
      <c r="EI23" s="363">
        <f ca="1">ER23+EQ23</f>
        <v>0.17173790046039494</v>
      </c>
      <c r="EJ23" s="6" t="e">
        <f ca="1">EK23-EI23</f>
        <v>#VALUE!</v>
      </c>
      <c r="EK23" s="194" t="e">
        <f ca="1">DV23</f>
        <v>#VALUE!</v>
      </c>
      <c r="EL23" s="6">
        <f>_xlfn.RRI(3,AK23,AN23)</f>
        <v>0.11230340587919962</v>
      </c>
      <c r="EM23" s="194">
        <f>_xlfn.RRI(3,BC23,BF23)</f>
        <v>0.17597801596807572</v>
      </c>
      <c r="EN23" s="163" cm="1">
        <f t="array" ref="EN23">_xll.BDP(B23,"AVG_DAILY_VALUE_TRADED_3M")/10^6</f>
        <v>353.26870400000001</v>
      </c>
      <c r="EQ23" s="361">
        <f ca="1">IFERROR(AVERAGE(DP23:DQ23)/H23,0)</f>
        <v>0</v>
      </c>
      <c r="ER23" s="361">
        <f ca="1">_xlfn.RRI(2+$DT$2,$DT$2*(BC23)+(1-$DT$2)*(BD23),(BF23))</f>
        <v>0.17173790046039494</v>
      </c>
      <c r="ES23" s="127">
        <f ca="1">ER23-EG23+EQ23</f>
        <v>4.2057542864646802E-2</v>
      </c>
      <c r="EU23" s="361" t="e">
        <f ca="1">_xlfn.RRI(2+$DT$2,($DT$2*BY23+(1-$DT$2)*BZ23),CF23)</f>
        <v>#VALUE!</v>
      </c>
      <c r="EV23" s="127" t="e">
        <f ca="1">EJ23-EU23</f>
        <v>#VALUE!</v>
      </c>
      <c r="EX23" s="292"/>
      <c r="EY23" s="292"/>
      <c r="EZ23" s="292"/>
      <c r="FA23" s="292"/>
      <c r="FB23" s="292"/>
      <c r="FC23" s="292"/>
      <c r="FD23" s="292"/>
      <c r="FE23" s="292"/>
      <c r="FF23" s="296">
        <v>0.2</v>
      </c>
      <c r="FG23" s="296">
        <v>-0.2</v>
      </c>
      <c r="FH23" s="295">
        <f>FF23-FG23</f>
        <v>0.4</v>
      </c>
      <c r="FI23" s="298">
        <f>FT23/CF23-1</f>
        <v>0.11111111111111116</v>
      </c>
      <c r="FJ23" s="298">
        <f>FU23/CF23-1</f>
        <v>-0.2592592592592593</v>
      </c>
      <c r="FK23" s="295">
        <f>FI23-FJ23</f>
        <v>0.37037037037037046</v>
      </c>
      <c r="FL23" s="15">
        <f>FF23+FG23</f>
        <v>0</v>
      </c>
      <c r="FM23" s="15">
        <f>FJ23+FI23</f>
        <v>-0.14814814814814814</v>
      </c>
      <c r="FN23" s="15" t="e">
        <f ca="1">EK23+FF23/3+FI23/3</f>
        <v>#VALUE!</v>
      </c>
      <c r="FO23" s="15" t="e">
        <f ca="1">EK23+FG23/3+FJ23/3</f>
        <v>#VALUE!</v>
      </c>
      <c r="FP23" s="300" t="e">
        <f ca="1">EK23+FL23/3+FM23/3</f>
        <v>#VALUE!</v>
      </c>
      <c r="FQ23" s="15" t="e">
        <f ca="1">EK23</f>
        <v>#VALUE!</v>
      </c>
      <c r="FR23" s="300" t="e">
        <f ca="1">FP23-FQ23</f>
        <v>#VALUE!</v>
      </c>
      <c r="FS23" s="15" t="e">
        <f ca="1">FN23-FO23</f>
        <v>#VALUE!</v>
      </c>
      <c r="FT23" s="294">
        <v>30</v>
      </c>
      <c r="FU23" s="294">
        <v>20</v>
      </c>
      <c r="FV23" t="s">
        <v>59</v>
      </c>
    </row>
    <row r="24" spans="2:178" x14ac:dyDescent="0.25">
      <c r="B24" s="10" t="s">
        <v>138</v>
      </c>
      <c r="C24" s="10"/>
      <c r="D24" s="38" t="s">
        <v>137</v>
      </c>
      <c r="E24" s="291">
        <v>2</v>
      </c>
      <c r="F24" s="393">
        <v>46068</v>
      </c>
      <c r="G24" s="394"/>
      <c r="H24" s="395" t="str" cm="1">
        <f t="array" aca="1" ref="H24" ca="1">_xll.BQL($B24, "px_last", "dates=" &amp; _xll.BQL.DATE($D$2))</f>
        <v>#N/A Connection</v>
      </c>
      <c r="I24" s="25" cm="1">
        <f t="array" ref="I24">_xll.BQL(""&amp;B24&amp;"", "CB_IS_ADJ_DILUTED_AVG_SHS/1M", "FPT=Q", "FPO=0Q", "ACT_EST_MAPPING=PRECISE", "FS=MRC", "CURRENCY=USD", "XLFILL=b")</f>
        <v>608</v>
      </c>
      <c r="J24" s="25">
        <v>-11014</v>
      </c>
      <c r="K24" s="2">
        <v>1999</v>
      </c>
      <c r="L24" s="2"/>
      <c r="M24" s="80">
        <f>K24+J24</f>
        <v>-9015</v>
      </c>
      <c r="N24" s="80" t="e">
        <f ca="1">I24*H24+M24+L24</f>
        <v>#VALUE!</v>
      </c>
      <c r="O24" s="396">
        <v>8399</v>
      </c>
      <c r="P24" s="396">
        <v>9917</v>
      </c>
      <c r="Q24" s="396">
        <v>11102</v>
      </c>
      <c r="R24" s="396">
        <v>12241</v>
      </c>
      <c r="S24" s="396">
        <v>14053.594057655926</v>
      </c>
      <c r="T24" s="396">
        <v>16049.271695158355</v>
      </c>
      <c r="U24" s="396">
        <v>18609.378133248971</v>
      </c>
      <c r="V24" s="396">
        <v>21261.991605202526</v>
      </c>
      <c r="W24" s="396">
        <v>24229.010020964695</v>
      </c>
      <c r="X24" s="135">
        <f t="shared" ref="X24:AF24" si="119">AG24/O24</f>
        <v>0.82154077866412667</v>
      </c>
      <c r="Y24" s="135">
        <f t="shared" si="119"/>
        <v>0.82827467984269432</v>
      </c>
      <c r="Z24" s="135">
        <f t="shared" si="119"/>
        <v>0.83084128985768335</v>
      </c>
      <c r="AA24" s="135">
        <f t="shared" si="119"/>
        <v>0.82958908585899849</v>
      </c>
      <c r="AB24" s="135">
        <f t="shared" si="119"/>
        <v>0.83499999999999996</v>
      </c>
      <c r="AC24" s="135">
        <f t="shared" si="119"/>
        <v>0.83499999999999996</v>
      </c>
      <c r="AD24" s="135">
        <f t="shared" si="119"/>
        <v>0.83500000000000008</v>
      </c>
      <c r="AE24" s="135">
        <f t="shared" si="119"/>
        <v>0.83499999999999996</v>
      </c>
      <c r="AF24" s="135">
        <f t="shared" si="119"/>
        <v>0.83500000000000008</v>
      </c>
      <c r="AG24" s="397">
        <v>6900.1210000000001</v>
      </c>
      <c r="AH24" s="397">
        <v>8214</v>
      </c>
      <c r="AI24" s="397">
        <v>9224</v>
      </c>
      <c r="AJ24" s="397">
        <v>10155</v>
      </c>
      <c r="AK24" s="397">
        <v>11734.751038142698</v>
      </c>
      <c r="AL24" s="397">
        <v>13401.141865457226</v>
      </c>
      <c r="AM24" s="397">
        <v>15538.830741262891</v>
      </c>
      <c r="AN24" s="397">
        <v>17753.762990344108</v>
      </c>
      <c r="AO24" s="397">
        <v>20231.223367505521</v>
      </c>
      <c r="AP24" s="398">
        <v>2.4164705882352941</v>
      </c>
      <c r="AQ24" s="398">
        <v>3.7788519637462232</v>
      </c>
      <c r="AR24" s="398">
        <v>4.1484186046511624</v>
      </c>
      <c r="AS24" s="398">
        <v>4.1236918138041734</v>
      </c>
      <c r="AT24" s="398">
        <v>5.0392136195149559</v>
      </c>
      <c r="AU24" s="398">
        <v>5.9367756787433663</v>
      </c>
      <c r="AV24" s="398">
        <v>7.4716294023066512</v>
      </c>
      <c r="AW24" s="399">
        <v>9.2138029794886016</v>
      </c>
      <c r="AX24" s="399">
        <v>11.370692023261073</v>
      </c>
      <c r="AY24" s="395">
        <f t="shared" ref="AY24:BG24" si="120">+AP24</f>
        <v>2.4164705882352941</v>
      </c>
      <c r="AZ24" s="395">
        <f t="shared" si="120"/>
        <v>3.7788519637462232</v>
      </c>
      <c r="BA24" s="395">
        <f t="shared" si="120"/>
        <v>4.1484186046511624</v>
      </c>
      <c r="BB24" s="395">
        <f t="shared" si="120"/>
        <v>4.1236918138041734</v>
      </c>
      <c r="BC24" s="395">
        <f t="shared" si="120"/>
        <v>5.0392136195149559</v>
      </c>
      <c r="BD24" s="395">
        <f t="shared" si="120"/>
        <v>5.9367756787433663</v>
      </c>
      <c r="BE24" s="395">
        <f t="shared" si="120"/>
        <v>7.4716294023066512</v>
      </c>
      <c r="BF24" s="421">
        <f t="shared" si="120"/>
        <v>9.2138029794886016</v>
      </c>
      <c r="BG24" s="421">
        <f t="shared" si="120"/>
        <v>11.370692023261073</v>
      </c>
      <c r="BH24" s="400" t="e">
        <f t="shared" ca="1" si="114"/>
        <v>#VALUE!</v>
      </c>
      <c r="BI24" s="400" t="e">
        <f t="shared" ca="1" si="114"/>
        <v>#VALUE!</v>
      </c>
      <c r="BJ24" s="400" t="e">
        <f t="shared" ca="1" si="114"/>
        <v>#VALUE!</v>
      </c>
      <c r="BK24" s="400" t="e">
        <f t="shared" ca="1" si="114"/>
        <v>#VALUE!</v>
      </c>
      <c r="BL24" s="400" t="e">
        <f t="shared" ca="1" si="114"/>
        <v>#VALUE!</v>
      </c>
      <c r="BM24" s="400" t="e">
        <f t="shared" ca="1" si="114"/>
        <v>#VALUE!</v>
      </c>
      <c r="BN24" s="400" t="e">
        <f t="shared" ca="1" si="114"/>
        <v>#VALUE!</v>
      </c>
      <c r="BO24" s="400" t="e">
        <f t="shared" ca="1" si="115"/>
        <v>#VALUE!</v>
      </c>
      <c r="BP24" s="400" t="e">
        <f t="shared" ca="1" si="115"/>
        <v>#VALUE!</v>
      </c>
      <c r="BQ24" s="400" t="e">
        <f t="shared" ca="1" si="115"/>
        <v>#VALUE!</v>
      </c>
      <c r="BR24" s="400" t="e">
        <f t="shared" ca="1" si="115"/>
        <v>#VALUE!</v>
      </c>
      <c r="BS24" s="400" t="e">
        <f t="shared" ca="1" si="115"/>
        <v>#VALUE!</v>
      </c>
      <c r="BT24" s="400" t="e">
        <f t="shared" ca="1" si="116"/>
        <v>#VALUE!</v>
      </c>
      <c r="BU24" s="400" t="e">
        <f t="shared" ca="1" si="116"/>
        <v>#VALUE!</v>
      </c>
      <c r="BV24" s="400" t="e">
        <f t="shared" ca="1" si="116"/>
        <v>#VALUE!</v>
      </c>
      <c r="BW24" s="400" t="e">
        <f t="shared" ca="1" si="116"/>
        <v>#VALUE!</v>
      </c>
      <c r="BX24" s="400" t="e">
        <f t="shared" ca="1" si="116"/>
        <v>#VALUE!</v>
      </c>
      <c r="BY24" s="8" t="e">
        <f t="shared" ca="1" si="117"/>
        <v>#VALUE!</v>
      </c>
      <c r="BZ24" s="400" t="e">
        <f t="shared" ca="1" si="117"/>
        <v>#VALUE!</v>
      </c>
      <c r="CA24" s="400" t="e">
        <f t="shared" ca="1" si="117"/>
        <v>#VALUE!</v>
      </c>
      <c r="CB24" s="400" t="e">
        <f t="shared" ca="1" si="117"/>
        <v>#VALUE!</v>
      </c>
      <c r="CC24" s="400" t="e">
        <f t="shared" ca="1" si="117"/>
        <v>#VALUE!</v>
      </c>
      <c r="CD24" s="12">
        <v>26</v>
      </c>
      <c r="CE24" s="167">
        <v>25</v>
      </c>
      <c r="CF24" s="12">
        <v>24</v>
      </c>
      <c r="CG24" s="12">
        <v>23</v>
      </c>
      <c r="CH24" s="12">
        <v>22</v>
      </c>
      <c r="CI24" s="46"/>
      <c r="CJ24" s="46"/>
      <c r="CK24" s="46"/>
      <c r="CL24" s="46"/>
      <c r="CM24" s="46"/>
      <c r="CN24" s="136">
        <f t="shared" si="118"/>
        <v>154.35616764732754</v>
      </c>
      <c r="CO24" s="136">
        <f t="shared" si="118"/>
        <v>186.79073505766627</v>
      </c>
      <c r="CP24" s="136">
        <f t="shared" si="118"/>
        <v>221.13127150772644</v>
      </c>
      <c r="CQ24" s="136">
        <f t="shared" si="118"/>
        <v>261.52591653500468</v>
      </c>
      <c r="CR24" s="7"/>
      <c r="CS24" s="7"/>
      <c r="CT24" s="7"/>
      <c r="CU24" s="7"/>
      <c r="CV24" s="7"/>
      <c r="CW24" s="7"/>
      <c r="CX24" s="137"/>
      <c r="CY24" s="137"/>
      <c r="CZ24" s="137"/>
      <c r="DA24" s="137"/>
      <c r="DB24" s="101"/>
      <c r="DC24" s="40">
        <v>602.94313879849369</v>
      </c>
      <c r="DD24" s="40">
        <v>586.00672415356576</v>
      </c>
      <c r="DE24" s="40">
        <v>568.5200176318607</v>
      </c>
      <c r="DF24" s="40">
        <v>550.47102700725986</v>
      </c>
      <c r="DG24" s="40">
        <v>532.3178500555988</v>
      </c>
      <c r="DH24" s="40"/>
      <c r="DI24" s="40"/>
      <c r="DJ24" s="40"/>
      <c r="DK24" s="40"/>
      <c r="DL24" s="40"/>
      <c r="DM24" s="7"/>
      <c r="DN24" s="7"/>
      <c r="DO24" s="7"/>
      <c r="DP24" s="7"/>
      <c r="DQ24" s="7"/>
      <c r="DR24" s="7"/>
      <c r="DS24" s="7"/>
      <c r="DT24" s="78" t="e">
        <f ca="1">_xlfn.RRI(DT$2,$H24,CN24+$DO24*$DT$2)</f>
        <v>#VALUE!</v>
      </c>
      <c r="DU24" s="78" t="e">
        <f ca="1">_xlfn.RRI(DU$2,$H24,CO24+$DO24*$DT$2+SUM($DP24:DP24))</f>
        <v>#VALUE!</v>
      </c>
      <c r="DV24" s="6" t="e">
        <f ca="1">_xlfn.RRI(DV$2,$H24,CP24+$DO24*$DT$2+SUM($DP24:DQ24))</f>
        <v>#VALUE!</v>
      </c>
      <c r="DW24" s="6" t="e">
        <f ca="1">_xlfn.RRI(DW$2,$H24,CQ24+$DO24*$DT$2+SUM($DP24:DR24))</f>
        <v>#VALUE!</v>
      </c>
      <c r="DX24" s="172" t="e">
        <f ca="1">SUM(CN24,$DO24:DO24)/$H24</f>
        <v>#VALUE!</v>
      </c>
      <c r="DY24" s="138" t="e">
        <f ca="1">SUM(CO24,$DO24:DP24)/$H24</f>
        <v>#VALUE!</v>
      </c>
      <c r="DZ24" s="138" t="e">
        <f ca="1">SUM(CP24,$DO24:DQ24)/$H24</f>
        <v>#VALUE!</v>
      </c>
      <c r="EA24" s="138" t="e">
        <f ca="1">SUM(CQ24,$DO24:DR24)/$H24</f>
        <v>#VALUE!</v>
      </c>
      <c r="EB24" s="78" cm="1">
        <f t="array" ref="EB24">_xll.BDP(""&amp;$B24&amp;"","CHG_PCT_1M")/100</f>
        <v>-4.0886319999999997E-2</v>
      </c>
      <c r="EC24" s="6" cm="1">
        <f t="array" ref="EC24">_xll.BDP(""&amp;$B24&amp;"","CHG_PCT_3M")/100</f>
        <v>1.8576930000000002E-2</v>
      </c>
      <c r="ED24" s="194" cm="1">
        <f t="array" ref="ED24">_xll.BDP(""&amp;$B24&amp;"","CHG_PCT_6M")/100</f>
        <v>0.11224489999999999</v>
      </c>
      <c r="EE24" s="363">
        <f ca="1">_xlfn.RRI(2+$DT$2,$DT$2*S24+(1-$DT$2)*T24,V24)</f>
        <v>0.14804727433517439</v>
      </c>
      <c r="EF24" s="175">
        <f ca="1">EG24-EE24</f>
        <v>4.4405115360297787E-2</v>
      </c>
      <c r="EG24" s="363">
        <f ca="1">_xlfn.RRI(2+$DT$2,$DT$2*(BC24*DC24)+(1-$DT$2)*(BD24*DD24),(BF24*DF24))</f>
        <v>0.19245238969547218</v>
      </c>
      <c r="EH24" s="6">
        <f ca="1">EI24-EG24</f>
        <v>3.6630266653552734E-2</v>
      </c>
      <c r="EI24" s="363">
        <f ca="1">ER24+EQ24</f>
        <v>0.22908265634902492</v>
      </c>
      <c r="EJ24" s="6" t="e">
        <f ca="1">EK24-EI24</f>
        <v>#VALUE!</v>
      </c>
      <c r="EK24" s="194" t="e">
        <f ca="1">DV24</f>
        <v>#VALUE!</v>
      </c>
      <c r="EL24" s="6">
        <f>_xlfn.RRI(3,AK24,AN24)</f>
        <v>0.14799195846619262</v>
      </c>
      <c r="EM24" s="194">
        <f>_xlfn.RRI(3,BC24,BF24)</f>
        <v>0.22280925598368251</v>
      </c>
      <c r="EN24" s="163" cm="1">
        <f t="array" ref="EN24">_xll.BDP(B24,"AVG_DAILY_VALUE_TRADED_3M")/10^6</f>
        <v>496.48809599999998</v>
      </c>
      <c r="EQ24" s="361">
        <f ca="1">IFERROR(AVERAGE(DP24:DQ24)/H24,0)</f>
        <v>0</v>
      </c>
      <c r="ER24" s="361">
        <f ca="1">_xlfn.RRI(2+$DT$2,$DT$2*(BC24)+(1-$DT$2)*(BD24),(BF24))</f>
        <v>0.22908265634902492</v>
      </c>
      <c r="ES24" s="127">
        <f ca="1">ER24-EG24+EQ24</f>
        <v>3.6630266653552734E-2</v>
      </c>
      <c r="EU24" s="361" t="e">
        <f ca="1">_xlfn.RRI(2+$DT$2,($DT$2*BY24+(1-$DT$2)*BZ24),CF24)</f>
        <v>#VALUE!</v>
      </c>
      <c r="EV24" s="127" t="e">
        <f ca="1">EJ24-EU24</f>
        <v>#VALUE!</v>
      </c>
      <c r="EX24" s="292"/>
      <c r="EY24" s="292"/>
      <c r="EZ24" s="292"/>
      <c r="FA24" s="292"/>
      <c r="FB24" s="292"/>
      <c r="FC24" s="292"/>
      <c r="FD24" s="292"/>
      <c r="FE24" s="292"/>
      <c r="FF24" s="296">
        <v>0.25</v>
      </c>
      <c r="FG24" s="296">
        <v>-0.1</v>
      </c>
      <c r="FH24" s="295">
        <f>FF24-FG24</f>
        <v>0.35</v>
      </c>
      <c r="FI24" s="298">
        <f>FT24/CF24-1</f>
        <v>0.25</v>
      </c>
      <c r="FJ24" s="298">
        <f>FU24/CF24-1</f>
        <v>-0.16666666666666663</v>
      </c>
      <c r="FK24" s="295">
        <f>FI24-FJ24</f>
        <v>0.41666666666666663</v>
      </c>
      <c r="FL24" s="15">
        <f>FF24+FG24</f>
        <v>0.15</v>
      </c>
      <c r="FM24" s="15">
        <f>FJ24+FI24</f>
        <v>8.333333333333337E-2</v>
      </c>
      <c r="FN24" s="15" t="e">
        <f ca="1">EK24+FF24/3+FI24/3</f>
        <v>#VALUE!</v>
      </c>
      <c r="FO24" s="15" t="e">
        <f ca="1">EK24+FG24/3+FJ24/3</f>
        <v>#VALUE!</v>
      </c>
      <c r="FP24" s="300" t="e">
        <f ca="1">EK24+FL24/3+FM24/3</f>
        <v>#VALUE!</v>
      </c>
      <c r="FQ24" s="15" t="e">
        <f ca="1">EK24</f>
        <v>#VALUE!</v>
      </c>
      <c r="FR24" s="300" t="e">
        <f ca="1">FP24-FQ24</f>
        <v>#VALUE!</v>
      </c>
      <c r="FS24" s="15" t="e">
        <f ca="1">FN24-FO24</f>
        <v>#VALUE!</v>
      </c>
      <c r="FT24" s="294">
        <v>30</v>
      </c>
      <c r="FU24" s="294">
        <v>20</v>
      </c>
    </row>
    <row r="25" spans="2:178" x14ac:dyDescent="0.25">
      <c r="D25" s="38"/>
      <c r="E25" s="392"/>
      <c r="F25" s="392"/>
      <c r="G25" s="392"/>
      <c r="H25" s="392"/>
      <c r="I25" s="392"/>
      <c r="J25" s="392"/>
      <c r="K25" s="392"/>
      <c r="L25" s="392"/>
      <c r="M25" s="392"/>
      <c r="N25" s="392"/>
      <c r="O25" s="392"/>
      <c r="P25" s="392"/>
      <c r="Q25" s="392"/>
      <c r="R25" s="392"/>
      <c r="S25" s="392"/>
      <c r="T25" s="392"/>
      <c r="U25" s="392"/>
      <c r="V25" s="392"/>
      <c r="W25" s="392"/>
      <c r="X25" s="392"/>
      <c r="Y25" s="392"/>
      <c r="Z25" s="392"/>
      <c r="AA25" s="392"/>
      <c r="AB25" s="392"/>
      <c r="AC25" s="392"/>
      <c r="AD25" s="392"/>
      <c r="AE25" s="392"/>
      <c r="AF25" s="392"/>
      <c r="AG25" s="392"/>
      <c r="AH25" s="392"/>
      <c r="AI25" s="392"/>
      <c r="AJ25" s="392"/>
      <c r="AK25" s="392"/>
      <c r="AL25" s="392"/>
      <c r="AM25" s="392"/>
      <c r="AN25" s="392"/>
      <c r="AO25" s="392"/>
      <c r="AP25" s="392"/>
      <c r="AQ25" s="392"/>
      <c r="AR25" s="392"/>
      <c r="AS25" s="392"/>
      <c r="AT25" s="392"/>
      <c r="AU25" s="392"/>
      <c r="AV25" s="392"/>
      <c r="AW25" s="392"/>
      <c r="AX25" s="392"/>
      <c r="AY25" s="392"/>
      <c r="AZ25" s="392"/>
      <c r="BA25" s="392"/>
      <c r="BB25" s="392"/>
      <c r="BC25" s="392"/>
      <c r="BD25" s="392"/>
      <c r="BE25" s="392"/>
      <c r="BF25" s="392"/>
      <c r="BG25" s="392"/>
      <c r="BH25" s="392"/>
      <c r="BI25" s="392"/>
      <c r="BJ25" s="392"/>
      <c r="BK25" s="392"/>
      <c r="BL25" s="392"/>
      <c r="BM25" s="392"/>
      <c r="BN25" s="392"/>
      <c r="BO25" s="392"/>
      <c r="BP25" s="392"/>
      <c r="BQ25" s="392"/>
      <c r="BR25" s="392"/>
      <c r="BS25" s="392"/>
      <c r="BT25" s="392"/>
      <c r="BU25" s="392"/>
      <c r="BV25" s="392"/>
      <c r="BW25" s="392"/>
      <c r="BX25" s="392"/>
      <c r="BY25" s="166"/>
      <c r="BZ25" s="392"/>
      <c r="CA25" s="392"/>
      <c r="CB25" s="392"/>
      <c r="CC25" s="392"/>
      <c r="CD25" s="392"/>
      <c r="CE25" s="166"/>
      <c r="CF25" s="392"/>
      <c r="CG25" s="392"/>
      <c r="CH25" s="392"/>
      <c r="CI25" s="392"/>
      <c r="CJ25" s="392"/>
      <c r="CK25" s="392"/>
      <c r="CL25" s="392"/>
      <c r="CM25" s="392"/>
      <c r="CN25" s="392"/>
      <c r="CO25" s="392"/>
      <c r="CP25" s="392"/>
      <c r="CQ25" s="392"/>
      <c r="CR25" s="392"/>
      <c r="CS25" s="392"/>
      <c r="CT25" s="392"/>
      <c r="CU25" s="392"/>
      <c r="CV25" s="392"/>
      <c r="CW25" s="392"/>
      <c r="CX25" s="392"/>
      <c r="CY25" s="392"/>
      <c r="CZ25" s="392"/>
      <c r="DA25" s="392"/>
      <c r="DB25" s="392"/>
      <c r="DC25" s="392"/>
      <c r="DD25" s="429"/>
      <c r="DE25" s="429"/>
      <c r="DF25" s="429"/>
      <c r="DG25" s="429"/>
      <c r="DH25" s="392"/>
      <c r="DI25" s="392"/>
      <c r="DJ25" s="392"/>
      <c r="DK25" s="392"/>
      <c r="DL25" s="392"/>
      <c r="DM25" s="392"/>
      <c r="DN25" s="392"/>
      <c r="DO25" s="392"/>
      <c r="DP25" s="392"/>
      <c r="DQ25" s="392"/>
      <c r="DR25" s="392"/>
      <c r="DS25" s="392"/>
      <c r="DT25" s="166"/>
      <c r="DU25" s="166"/>
      <c r="DV25" s="392"/>
      <c r="DW25" s="392"/>
      <c r="DX25" s="166"/>
      <c r="DY25" s="392"/>
      <c r="DZ25" s="392"/>
      <c r="EA25" s="392"/>
      <c r="EB25" s="166"/>
      <c r="EC25" s="392"/>
      <c r="ED25" s="114"/>
      <c r="EE25" s="430"/>
      <c r="EF25" s="392"/>
      <c r="EG25" s="430"/>
      <c r="EH25" s="392"/>
      <c r="EI25" s="430"/>
      <c r="EJ25" s="392"/>
      <c r="EK25" s="114"/>
      <c r="EL25" s="392"/>
      <c r="EM25" s="114"/>
      <c r="EN25" s="114"/>
      <c r="FF25" s="297"/>
      <c r="FG25" s="296"/>
      <c r="FI25" s="299"/>
      <c r="FJ25" s="298"/>
      <c r="FK25" s="295"/>
      <c r="FN25" s="15"/>
      <c r="FO25" s="15"/>
      <c r="FP25" s="300"/>
      <c r="FQ25" s="300"/>
      <c r="FR25" s="300"/>
      <c r="FS25" s="15"/>
    </row>
    <row r="26" spans="2:178" ht="15.75" x14ac:dyDescent="0.25">
      <c r="D26" s="161" t="s">
        <v>247</v>
      </c>
      <c r="E26" s="289"/>
      <c r="F26" s="392"/>
      <c r="G26" s="392"/>
      <c r="H26" s="392"/>
      <c r="I26" s="392"/>
      <c r="J26" s="392"/>
      <c r="K26" s="392"/>
      <c r="L26" s="392"/>
      <c r="M26" s="392"/>
      <c r="N26" s="392"/>
      <c r="O26" s="392"/>
      <c r="P26" s="392"/>
      <c r="Q26" s="392"/>
      <c r="R26" s="392"/>
      <c r="S26" s="392"/>
      <c r="T26" s="392"/>
      <c r="U26" s="392"/>
      <c r="V26" s="392"/>
      <c r="W26" s="392"/>
      <c r="X26" s="392"/>
      <c r="Y26" s="392"/>
      <c r="Z26" s="392"/>
      <c r="AA26" s="392"/>
      <c r="AB26" s="392"/>
      <c r="AC26" s="392"/>
      <c r="AD26" s="392"/>
      <c r="AE26" s="392"/>
      <c r="AF26" s="392"/>
      <c r="AG26" s="392"/>
      <c r="AH26" s="392"/>
      <c r="AI26" s="392"/>
      <c r="AJ26" s="392"/>
      <c r="AK26" s="392"/>
      <c r="AL26" s="392"/>
      <c r="AM26" s="392"/>
      <c r="AN26" s="392"/>
      <c r="AO26" s="392"/>
      <c r="AP26" s="392"/>
      <c r="AQ26" s="392"/>
      <c r="AR26" s="392"/>
      <c r="AS26" s="392"/>
      <c r="AT26" s="392"/>
      <c r="AU26" s="392"/>
      <c r="AV26" s="392"/>
      <c r="AW26" s="392"/>
      <c r="AX26" s="392"/>
      <c r="AY26" s="392"/>
      <c r="AZ26" s="392"/>
      <c r="BA26" s="392"/>
      <c r="BB26" s="392"/>
      <c r="BC26" s="392"/>
      <c r="BD26" s="392"/>
      <c r="BE26" s="392"/>
      <c r="BF26" s="392"/>
      <c r="BG26" s="392"/>
      <c r="BH26" s="392"/>
      <c r="BI26" s="392"/>
      <c r="BJ26" s="392"/>
      <c r="BK26" s="392"/>
      <c r="BL26" s="392"/>
      <c r="BM26" s="392"/>
      <c r="BN26" s="392"/>
      <c r="BO26" s="392"/>
      <c r="BP26" s="392"/>
      <c r="BQ26" s="392"/>
      <c r="BR26" s="392"/>
      <c r="BS26" s="392"/>
      <c r="BT26" s="392"/>
      <c r="BU26" s="392"/>
      <c r="BV26" s="392"/>
      <c r="BW26" s="392"/>
      <c r="BX26" s="392"/>
      <c r="BY26" s="166"/>
      <c r="BZ26" s="392"/>
      <c r="CA26" s="392"/>
      <c r="CB26" s="392"/>
      <c r="CC26" s="392"/>
      <c r="CD26" s="392"/>
      <c r="CE26" s="166"/>
      <c r="CF26" s="392"/>
      <c r="CG26" s="392"/>
      <c r="CH26" s="392"/>
      <c r="CI26" s="392"/>
      <c r="CJ26" s="392"/>
      <c r="CK26" s="392"/>
      <c r="CL26" s="392"/>
      <c r="CM26" s="392"/>
      <c r="CN26" s="392"/>
      <c r="CO26" s="392"/>
      <c r="CP26" s="392"/>
      <c r="CQ26" s="392"/>
      <c r="CR26" s="392"/>
      <c r="CS26" s="392"/>
      <c r="CT26" s="392"/>
      <c r="CU26" s="392"/>
      <c r="CV26" s="392"/>
      <c r="CW26" s="392"/>
      <c r="CX26" s="392"/>
      <c r="CY26" s="392"/>
      <c r="CZ26" s="392"/>
      <c r="DA26" s="392"/>
      <c r="DB26" s="392"/>
      <c r="DC26" s="392"/>
      <c r="DD26" s="392"/>
      <c r="DE26" s="392"/>
      <c r="DF26" s="392"/>
      <c r="DG26" s="392"/>
      <c r="DH26" s="392"/>
      <c r="DI26" s="392"/>
      <c r="DJ26" s="392"/>
      <c r="DK26" s="392"/>
      <c r="DL26" s="392"/>
      <c r="DM26" s="392"/>
      <c r="DN26" s="392"/>
      <c r="DO26" s="392"/>
      <c r="DP26" s="392"/>
      <c r="DQ26" s="392"/>
      <c r="DR26" s="392"/>
      <c r="DS26" s="392"/>
      <c r="DT26" s="166"/>
      <c r="DU26" s="166"/>
      <c r="DV26" s="392"/>
      <c r="DW26" s="392"/>
      <c r="DX26" s="166"/>
      <c r="DY26" s="392"/>
      <c r="DZ26" s="392"/>
      <c r="EA26" s="392"/>
      <c r="EB26" s="166"/>
      <c r="EC26" s="392"/>
      <c r="ED26" s="114"/>
      <c r="EE26" s="430"/>
      <c r="EF26" s="392"/>
      <c r="EG26" s="430"/>
      <c r="EH26" s="392"/>
      <c r="EI26" s="430"/>
      <c r="EJ26" s="392"/>
      <c r="EK26" s="114"/>
      <c r="EL26" s="392"/>
      <c r="EM26" s="114"/>
      <c r="EN26" s="114"/>
      <c r="FF26" s="297"/>
      <c r="FG26" s="296"/>
      <c r="FI26" s="299"/>
      <c r="FJ26" s="298"/>
      <c r="FK26" s="295"/>
      <c r="FN26" s="15"/>
      <c r="FO26" s="15"/>
      <c r="FP26" s="300"/>
      <c r="FQ26" s="300"/>
      <c r="FR26" s="300"/>
      <c r="FS26" s="15"/>
    </row>
    <row r="27" spans="2:178" ht="15.75" thickBot="1" x14ac:dyDescent="0.3">
      <c r="B27" s="9" t="s">
        <v>22</v>
      </c>
      <c r="C27" s="9"/>
      <c r="D27" s="142" t="s">
        <v>23</v>
      </c>
      <c r="E27" s="290">
        <v>1</v>
      </c>
      <c r="F27" s="393">
        <v>46119</v>
      </c>
      <c r="G27" s="394"/>
      <c r="H27" s="411" t="str" cm="1">
        <f t="array" aca="1" ref="H27" ca="1">_xll.BQL($B27, "px_last", "dates=" &amp; _xll.BQL.DATE($D$2))</f>
        <v>#N/A Connection</v>
      </c>
      <c r="I27" s="25">
        <v>618</v>
      </c>
      <c r="J27" s="25">
        <v>-1770</v>
      </c>
      <c r="K27" s="2">
        <v>0</v>
      </c>
      <c r="L27" s="396"/>
      <c r="M27" s="76">
        <f t="shared" ref="M27:M32" si="121">K27+J27</f>
        <v>-1770</v>
      </c>
      <c r="N27" s="76" t="e">
        <f t="shared" ref="N27:N32" ca="1" si="122">I27*H27+M27+L27</f>
        <v>#VALUE!</v>
      </c>
      <c r="O27" s="431">
        <f t="shared" ref="O27:W27" si="123">AG27/X27</f>
        <v>836.47058823529414</v>
      </c>
      <c r="P27" s="431">
        <f t="shared" si="123"/>
        <v>1243.5294117647059</v>
      </c>
      <c r="Q27" s="431">
        <f t="shared" si="123"/>
        <v>1667.0588235294117</v>
      </c>
      <c r="R27" s="431">
        <f t="shared" si="123"/>
        <v>2218.8235294117649</v>
      </c>
      <c r="S27" s="431">
        <f t="shared" si="123"/>
        <v>2766.5202184429131</v>
      </c>
      <c r="T27" s="431">
        <f t="shared" si="123"/>
        <v>3355.8447437291056</v>
      </c>
      <c r="U27" s="431">
        <f t="shared" si="123"/>
        <v>3937.7107749017882</v>
      </c>
      <c r="V27" s="431">
        <f t="shared" si="123"/>
        <v>4525.3813441566444</v>
      </c>
      <c r="W27" s="431">
        <f t="shared" si="123"/>
        <v>5045.177733992713</v>
      </c>
      <c r="X27" s="90">
        <v>0.85</v>
      </c>
      <c r="Y27" s="90">
        <v>0.85</v>
      </c>
      <c r="Z27" s="90">
        <v>0.85</v>
      </c>
      <c r="AA27" s="90">
        <v>0.85</v>
      </c>
      <c r="AB27" s="90">
        <v>0.85</v>
      </c>
      <c r="AC27" s="90">
        <v>0.85</v>
      </c>
      <c r="AD27" s="90">
        <v>0.85</v>
      </c>
      <c r="AE27" s="90">
        <v>0.85</v>
      </c>
      <c r="AF27" s="90">
        <v>0.85</v>
      </c>
      <c r="AG27" s="396">
        <v>711</v>
      </c>
      <c r="AH27" s="396">
        <v>1057</v>
      </c>
      <c r="AI27" s="396">
        <v>1417</v>
      </c>
      <c r="AJ27" s="396">
        <v>1886</v>
      </c>
      <c r="AK27" s="396">
        <v>2351.542185676476</v>
      </c>
      <c r="AL27" s="396">
        <v>2852.4680321697397</v>
      </c>
      <c r="AM27" s="396">
        <v>3347.0541586665199</v>
      </c>
      <c r="AN27" s="396">
        <v>3846.574142533148</v>
      </c>
      <c r="AO27" s="396">
        <v>4288.4010738938059</v>
      </c>
      <c r="AP27" s="399"/>
      <c r="AQ27" s="399"/>
      <c r="AR27" s="399"/>
      <c r="AS27" s="399">
        <v>1.001095324982026</v>
      </c>
      <c r="AT27" s="399">
        <v>1.2767032700718386</v>
      </c>
      <c r="AU27" s="399">
        <v>1.5569277900596412</v>
      </c>
      <c r="AV27" s="399">
        <v>2.0688851193213758</v>
      </c>
      <c r="AW27" s="399">
        <v>2.6263593359554345</v>
      </c>
      <c r="AX27" s="399">
        <v>3.0576893207543643</v>
      </c>
      <c r="AY27" s="399"/>
      <c r="AZ27" s="399"/>
      <c r="BA27" s="399"/>
      <c r="BB27" s="399">
        <v>0.50670326481290906</v>
      </c>
      <c r="BC27" s="399">
        <v>0.76067461530419445</v>
      </c>
      <c r="BD27" s="399">
        <v>1.0093957872932604</v>
      </c>
      <c r="BE27" s="399">
        <v>1.474515646936406</v>
      </c>
      <c r="BF27" s="399">
        <v>2.0073511841619149</v>
      </c>
      <c r="BG27" s="399">
        <v>2.5692709064655026</v>
      </c>
      <c r="BH27" s="400"/>
      <c r="BI27" s="400"/>
      <c r="BJ27" s="400"/>
      <c r="BK27" s="400"/>
      <c r="BL27" s="400"/>
      <c r="BM27" s="400"/>
      <c r="BN27" s="400"/>
      <c r="BO27" s="400" t="e">
        <f ca="1">$N27/AK27</f>
        <v>#VALUE!</v>
      </c>
      <c r="BP27" s="400" t="e">
        <f ca="1">$N27/AL27</f>
        <v>#VALUE!</v>
      </c>
      <c r="BQ27" s="400" t="e">
        <f ca="1">$N27/AM27</f>
        <v>#VALUE!</v>
      </c>
      <c r="BR27" s="400" t="e">
        <f ca="1">$N27/AN27</f>
        <v>#VALUE!</v>
      </c>
      <c r="BS27" s="400" t="e">
        <f ca="1">$N27/AO27</f>
        <v>#VALUE!</v>
      </c>
      <c r="BT27" s="432"/>
      <c r="BU27" s="400" t="e">
        <f ca="1">$H27/AU27</f>
        <v>#VALUE!</v>
      </c>
      <c r="BV27" s="400" t="e">
        <f ca="1">$H27/AV27</f>
        <v>#VALUE!</v>
      </c>
      <c r="BW27" s="400" t="e">
        <f ca="1">$H27/AW27</f>
        <v>#VALUE!</v>
      </c>
      <c r="BX27" s="400" t="e">
        <f ca="1">$H27/AX27</f>
        <v>#VALUE!</v>
      </c>
      <c r="BY27" s="8" t="e">
        <f ca="1">$H27/BC27</f>
        <v>#VALUE!</v>
      </c>
      <c r="BZ27" s="400" t="e">
        <f ca="1">$H27/BD27</f>
        <v>#VALUE!</v>
      </c>
      <c r="CA27" s="400" t="e">
        <f ca="1">$H27/BE27</f>
        <v>#VALUE!</v>
      </c>
      <c r="CB27" s="400" t="e">
        <f ca="1">$H27/BF27</f>
        <v>#VALUE!</v>
      </c>
      <c r="CC27" s="400" t="e">
        <f ca="1">$H27/BG27</f>
        <v>#VALUE!</v>
      </c>
      <c r="CD27" s="12">
        <v>22</v>
      </c>
      <c r="CE27" s="168">
        <v>22</v>
      </c>
      <c r="CF27" s="12">
        <v>22</v>
      </c>
      <c r="CG27" s="12">
        <v>22</v>
      </c>
      <c r="CH27" s="12">
        <v>25</v>
      </c>
      <c r="CI27" s="46">
        <v>48.482081600948639</v>
      </c>
      <c r="CJ27" s="46">
        <v>56.855635514001193</v>
      </c>
      <c r="CK27" s="46">
        <v>65.781378419703287</v>
      </c>
      <c r="CL27" s="46">
        <v>75.385267383300743</v>
      </c>
      <c r="CM27" s="46">
        <v>84.899722401886109</v>
      </c>
      <c r="CN27" s="381">
        <f>CD27*BD27</f>
        <v>22.206707320451727</v>
      </c>
      <c r="CO27" s="381">
        <f>CE27*BE27</f>
        <v>32.439344232600931</v>
      </c>
      <c r="CP27" s="381">
        <f>CF27*BF27</f>
        <v>44.161726051562127</v>
      </c>
      <c r="CQ27" s="381">
        <f>CG27*BG27</f>
        <v>56.523959942241056</v>
      </c>
      <c r="CR27" s="7"/>
      <c r="CS27" s="7"/>
      <c r="CT27" s="7"/>
      <c r="CU27" s="7"/>
      <c r="CV27" s="7"/>
      <c r="CW27" s="7"/>
      <c r="CX27" s="41">
        <f>CD27*AL27</f>
        <v>62754.296707734276</v>
      </c>
      <c r="CY27" s="41">
        <f>CE27*AM27</f>
        <v>73635.191490663434</v>
      </c>
      <c r="CZ27" s="41">
        <f>CF27*AN27</f>
        <v>84624.631135729258</v>
      </c>
      <c r="DA27" s="41">
        <f>CG27*AO27</f>
        <v>94344.823625663732</v>
      </c>
      <c r="DB27" s="19"/>
      <c r="DC27" s="42">
        <v>609.22541454590282</v>
      </c>
      <c r="DD27" s="42">
        <v>594.75401436623861</v>
      </c>
      <c r="DE27" s="42">
        <v>577.90502414188097</v>
      </c>
      <c r="DF27" s="42">
        <v>559.47181168493535</v>
      </c>
      <c r="DG27" s="40">
        <v>540.0111738138753</v>
      </c>
      <c r="DH27" s="40">
        <v>-1991</v>
      </c>
      <c r="DI27" s="40">
        <v>-1991</v>
      </c>
      <c r="DJ27" s="40">
        <v>-1991</v>
      </c>
      <c r="DK27" s="40">
        <v>-1991</v>
      </c>
      <c r="DL27" s="40"/>
      <c r="DM27" s="7"/>
      <c r="DN27" s="7"/>
      <c r="DO27" s="7"/>
      <c r="DP27" s="7"/>
      <c r="DQ27" s="7"/>
      <c r="DR27" s="7"/>
      <c r="DS27" s="7"/>
      <c r="DT27" s="78" t="e">
        <f t="shared" ref="DT27:DT32" ca="1" si="124">_xlfn.RRI(DT$2,$H27,CN27+$DO27*$DT$2)</f>
        <v>#VALUE!</v>
      </c>
      <c r="DU27" s="78" t="e">
        <f ca="1">_xlfn.RRI(DU$2,$H27,CO27+$DO27*$DT$2+SUM($DP27:DP27))</f>
        <v>#VALUE!</v>
      </c>
      <c r="DV27" s="6" t="e">
        <f ca="1">_xlfn.RRI(DV$2,$H27,CP27+$DO27*$DT$2+SUM($DP27:DQ27))</f>
        <v>#VALUE!</v>
      </c>
      <c r="DW27" s="6" t="e">
        <f ca="1">_xlfn.RRI(DW$2,$H27,CQ27+$DO27*$DT$2+SUM($DP27:DR27))</f>
        <v>#VALUE!</v>
      </c>
      <c r="DX27" s="171" t="e">
        <f ca="1">SUM(CN27,$DO27:DO27)/$H27</f>
        <v>#VALUE!</v>
      </c>
      <c r="DY27" s="132" t="e">
        <f ca="1">SUM(CO27,$DO27:DP27)/$H27</f>
        <v>#VALUE!</v>
      </c>
      <c r="DZ27" s="132" t="e">
        <f ca="1">SUM(CP27,$DO27:DQ27)/$H27</f>
        <v>#VALUE!</v>
      </c>
      <c r="EA27" s="132" t="e">
        <f ca="1">SUM(CQ27,$DO27:DR27)/$H27</f>
        <v>#VALUE!</v>
      </c>
      <c r="EB27" s="78" cm="1">
        <f t="array" ref="EB27">_xll.BDP(""&amp;$B27&amp;"","CHG_PCT_1M")/100</f>
        <v>-2.734528E-2</v>
      </c>
      <c r="EC27" s="6" cm="1">
        <f t="array" ref="EC27">_xll.BDP(""&amp;$B27&amp;"","CHG_PCT_3M")/100</f>
        <v>-0.19560910000000001</v>
      </c>
      <c r="ED27" s="194" cm="1">
        <f t="array" ref="ED27">_xll.BDP(""&amp;$B27&amp;"","CHG_PCT_6M")/100</f>
        <v>-0.29499419999999998</v>
      </c>
      <c r="EE27" s="363">
        <f ca="1">_xlfn.RRI(2+$DT$2,$DT$2*S27+(1-$DT$2)*T27,V27)</f>
        <v>0.17025048129372711</v>
      </c>
      <c r="EF27" s="384">
        <f ca="1">EG27-EE27</f>
        <v>0.17697088306785203</v>
      </c>
      <c r="EG27" s="385">
        <f ca="1">_xlfn.RRI(2+$DT$2,$DT$2*(BC27*DC27)+(1-$DT$2)*(BD27*DD27),(BF27*DF27))</f>
        <v>0.34722136436157913</v>
      </c>
      <c r="EH27" s="6">
        <f ca="1">EI27-EG27</f>
        <v>3.8970334257596662E-2</v>
      </c>
      <c r="EI27" s="363">
        <f ca="1">ER27+EQ27</f>
        <v>0.38619169861917579</v>
      </c>
      <c r="EJ27" s="6" t="e">
        <f ca="1">EK27-EI27</f>
        <v>#VALUE!</v>
      </c>
      <c r="EK27" s="194" t="e">
        <f ca="1">DV27</f>
        <v>#VALUE!</v>
      </c>
      <c r="EL27" s="6">
        <f>_xlfn.RRI(3,AK27,AN27)</f>
        <v>0.1782581285576279</v>
      </c>
      <c r="EM27" s="194">
        <f>_xlfn.RRI(3,BC27,BF27)</f>
        <v>0.38189425609522432</v>
      </c>
      <c r="EN27" s="163" cm="1">
        <f t="array" ref="EN27">_xll.BDP(B27,"AVG_DAILY_VALUE_TRADED_3M")/10^6</f>
        <v>297.08048000000002</v>
      </c>
      <c r="EQ27" s="361">
        <f t="shared" ref="EQ27:EQ32" ca="1" si="125">IFERROR(AVERAGE(DP27:DQ27)/H27,0)</f>
        <v>0</v>
      </c>
      <c r="ER27" s="361">
        <f t="shared" ref="ER27:ER32" ca="1" si="126">_xlfn.RRI(2+$DT$2,$DT$2*(BC27)+(1-$DT$2)*(BD27),(BF27))</f>
        <v>0.38619169861917579</v>
      </c>
      <c r="ES27" s="127">
        <f ca="1">ER27-EG27+EQ27</f>
        <v>3.8970334257596662E-2</v>
      </c>
      <c r="EU27" s="361" t="e">
        <f ca="1">_xlfn.RRI(2+$DT$2,($DT$2*BY27+(1-$DT$2)*BZ27),CF27)</f>
        <v>#VALUE!</v>
      </c>
      <c r="EX27" s="292" cm="1">
        <f t="array" ref="EX27">_xll.BQL("TOST US Equity", "IS_RECURRING_REVENUE/1M", "FPT=A", "FPr="&amp;EX5&amp;"", "ACT_EST_MAPPING=PRECISE", "FS=MRC", "CURRENCY=USD", "XLFILL=b")</f>
        <v>2321.515097136933</v>
      </c>
      <c r="EY27" s="292" cm="1">
        <f t="array" ref="EY27">_xll.BQL("TOST US Equity", "IS_RECURRING_REVENUE/1M", "FPT=A", "FPr="&amp;EY5&amp;"", "ACT_EST_MAPPING=PRECISE", "FS=MRC", "CURRENCY=USD", "XLFILL=b")</f>
        <v>2791.2219466039273</v>
      </c>
      <c r="EZ27" s="292" cm="1">
        <f t="array" ref="EZ27">_xll.BQL("TOST US Equity", "IS_RECURRING_REVENUE/1M", "FPT=A", "FPr="&amp;EZ5&amp;"", "ACT_EST_MAPPING=PRECISE", "FS=MRC", "CURRENCY=USD", "XLFILL=b")</f>
        <v>3340.210056125854</v>
      </c>
      <c r="FA27" s="292" cm="1">
        <f t="array" ref="FA27">_xll.BQL("TOST US Equity", "IS_RECURRING_REVENUE/1M", "FPT=A", "FPr="&amp;FA5&amp;"", "ACT_EST_MAPPING=PRECISE", "FS=MRC", "CURRENCY=USD", "XLFILL=b")</f>
        <v>4022.3883060090843</v>
      </c>
      <c r="FB27" s="351">
        <f>AK27/EX27-1</f>
        <v>1.2934263738613838E-2</v>
      </c>
      <c r="FC27" s="351">
        <f>AL27/EY27-1</f>
        <v>2.1942391804539385E-2</v>
      </c>
      <c r="FD27" s="351">
        <f>AM27/EZ27-1</f>
        <v>2.0490036332039274E-3</v>
      </c>
      <c r="FE27" s="351">
        <f>AN27/FA27-1</f>
        <v>-4.3708898818467068E-2</v>
      </c>
      <c r="FF27" s="296">
        <v>0.08</v>
      </c>
      <c r="FG27" s="296">
        <v>-0.08</v>
      </c>
      <c r="FH27" s="295">
        <f t="shared" ref="FH27:FH32" si="127">FF27-FG27</f>
        <v>0.16</v>
      </c>
      <c r="FI27" s="298">
        <f t="shared" ref="FI27:FI32" si="128">FT27/CF27-1</f>
        <v>-0.54545454545454541</v>
      </c>
      <c r="FJ27" s="298">
        <f t="shared" ref="FJ27:FJ32" si="129">FU27/CF27-1</f>
        <v>-0.77272727272727271</v>
      </c>
      <c r="FK27" s="295">
        <f t="shared" ref="FK27:FK32" si="130">FI27-FJ27</f>
        <v>0.22727272727272729</v>
      </c>
      <c r="FL27" s="15">
        <f t="shared" ref="FL27:FL32" si="131">FF27+FG27</f>
        <v>0</v>
      </c>
      <c r="FM27" s="15">
        <f t="shared" ref="FM27:FM32" si="132">FJ27+FI27</f>
        <v>-1.3181818181818181</v>
      </c>
      <c r="FN27" s="15" t="e">
        <f t="shared" ref="FN27:FN32" ca="1" si="133">EK27+FF27/3+FI27/3</f>
        <v>#VALUE!</v>
      </c>
      <c r="FO27" s="15" t="e">
        <f t="shared" ref="FO27:FO32" ca="1" si="134">EK27+FG27/3+FJ27/3</f>
        <v>#VALUE!</v>
      </c>
      <c r="FP27" s="300" t="e">
        <f t="shared" ref="FP27:FP32" ca="1" si="135">EK27+FL27/3+FM27/3</f>
        <v>#VALUE!</v>
      </c>
      <c r="FQ27" s="15" t="e">
        <f t="shared" ref="FQ27:FQ32" ca="1" si="136">EK27</f>
        <v>#VALUE!</v>
      </c>
      <c r="FR27" s="300" t="e">
        <f t="shared" ref="FR27:FR32" ca="1" si="137">FP27-FQ27</f>
        <v>#VALUE!</v>
      </c>
      <c r="FS27" s="15" t="e">
        <f t="shared" ref="FS27:FS32" ca="1" si="138">FN27-FO27</f>
        <v>#VALUE!</v>
      </c>
      <c r="FT27" s="294">
        <v>10</v>
      </c>
      <c r="FU27" s="294">
        <v>5</v>
      </c>
    </row>
    <row r="28" spans="2:178" ht="15.75" outlineLevel="1" thickBot="1" x14ac:dyDescent="0.3">
      <c r="B28" s="10" t="s">
        <v>50</v>
      </c>
      <c r="C28" s="10"/>
      <c r="D28" s="38" t="s">
        <v>42</v>
      </c>
      <c r="E28" s="392"/>
      <c r="F28" s="413">
        <v>45992</v>
      </c>
      <c r="G28" s="392"/>
      <c r="H28" s="411" t="str" cm="1">
        <f t="array" aca="1" ref="H28" ca="1">_xll.BQL($B28, "px_last", "dates=" &amp; _xll.BQL.DATE($D$2))</f>
        <v>#N/A Connection</v>
      </c>
      <c r="I28" s="39">
        <v>282</v>
      </c>
      <c r="J28" s="25">
        <v>-4552</v>
      </c>
      <c r="K28" s="2">
        <v>5973</v>
      </c>
      <c r="L28" s="392"/>
      <c r="M28" s="23">
        <f>K28+J28</f>
        <v>1421</v>
      </c>
      <c r="N28" s="24" t="e">
        <f ca="1">I28*H28+M28+L28</f>
        <v>#VALUE!</v>
      </c>
      <c r="O28" s="396">
        <v>12726</v>
      </c>
      <c r="P28" s="396">
        <v>14368</v>
      </c>
      <c r="Q28" s="396">
        <v>16285</v>
      </c>
      <c r="R28" s="396">
        <v>18831</v>
      </c>
      <c r="S28" s="396">
        <v>21322.138157887257</v>
      </c>
      <c r="T28" s="396">
        <v>23904.037277252552</v>
      </c>
      <c r="U28" s="396">
        <v>26711.595095647863</v>
      </c>
      <c r="V28" s="396">
        <v>29878.041158497988</v>
      </c>
      <c r="W28" s="396">
        <v>33446.623073806608</v>
      </c>
      <c r="X28" s="21">
        <v>0.8</v>
      </c>
      <c r="Y28" s="21">
        <v>0.8</v>
      </c>
      <c r="Z28" s="21">
        <v>0.8</v>
      </c>
      <c r="AA28" s="21">
        <v>0.8</v>
      </c>
      <c r="AB28" s="21">
        <v>0.8</v>
      </c>
      <c r="AC28" s="21">
        <v>0.8</v>
      </c>
      <c r="AD28" s="21">
        <v>0.8</v>
      </c>
      <c r="AE28" s="21">
        <v>0.8</v>
      </c>
      <c r="AF28" s="21">
        <v>0.8</v>
      </c>
      <c r="AG28" s="417">
        <f t="shared" ref="AG28:AO28" si="139">X28*O28</f>
        <v>10180.800000000001</v>
      </c>
      <c r="AH28" s="417">
        <f t="shared" si="139"/>
        <v>11494.400000000001</v>
      </c>
      <c r="AI28" s="417">
        <f t="shared" si="139"/>
        <v>13028</v>
      </c>
      <c r="AJ28" s="417">
        <f t="shared" si="139"/>
        <v>15064.800000000001</v>
      </c>
      <c r="AK28" s="417">
        <f t="shared" si="139"/>
        <v>17057.710526309806</v>
      </c>
      <c r="AL28" s="417">
        <f t="shared" si="139"/>
        <v>19123.229821802041</v>
      </c>
      <c r="AM28" s="417">
        <f t="shared" si="139"/>
        <v>21369.27607651829</v>
      </c>
      <c r="AN28" s="417">
        <f t="shared" si="139"/>
        <v>23902.432926798392</v>
      </c>
      <c r="AO28" s="417">
        <f t="shared" si="139"/>
        <v>26757.298459045287</v>
      </c>
      <c r="AP28" s="399">
        <v>12.918745541565055</v>
      </c>
      <c r="AQ28" s="399">
        <v>15.468286011712205</v>
      </c>
      <c r="AR28" s="399">
        <v>18.278391935831721</v>
      </c>
      <c r="AS28" s="399">
        <v>21.81595649186896</v>
      </c>
      <c r="AT28" s="399">
        <v>25.883022611684346</v>
      </c>
      <c r="AU28" s="399">
        <v>30.300189957801781</v>
      </c>
      <c r="AV28" s="399">
        <v>35.409788154608229</v>
      </c>
      <c r="AW28" s="399">
        <v>41.409191779441514</v>
      </c>
      <c r="AX28" s="399">
        <v>48.451254922306063</v>
      </c>
      <c r="AY28" s="399">
        <v>9.9559584686777463</v>
      </c>
      <c r="AZ28" s="399">
        <v>11.672446489023557</v>
      </c>
      <c r="BA28" s="399">
        <v>13.820115637071087</v>
      </c>
      <c r="BB28" s="412">
        <v>16.694311871824336</v>
      </c>
      <c r="BC28" s="412">
        <v>19.970928301536706</v>
      </c>
      <c r="BD28" s="412">
        <v>23.797055294243172</v>
      </c>
      <c r="BE28" s="412">
        <v>28.11911489146722</v>
      </c>
      <c r="BF28" s="412">
        <v>33.07389885909145</v>
      </c>
      <c r="BG28" s="412">
        <v>38.910211198271746</v>
      </c>
      <c r="BH28" s="400" t="e">
        <f ca="1">$N28/Q28</f>
        <v>#VALUE!</v>
      </c>
      <c r="BI28" s="400" t="e">
        <f ca="1">$N28/R28</f>
        <v>#VALUE!</v>
      </c>
      <c r="BJ28" s="400" t="e">
        <f ca="1">$N28/S28</f>
        <v>#VALUE!</v>
      </c>
      <c r="BK28" s="400" t="e">
        <f ca="1">$N28/T28</f>
        <v>#VALUE!</v>
      </c>
      <c r="BL28" s="400" t="e">
        <f ca="1">$N28/U28</f>
        <v>#VALUE!</v>
      </c>
      <c r="BM28" s="400" t="e">
        <f ca="1">$N28/V28</f>
        <v>#VALUE!</v>
      </c>
      <c r="BN28" s="400" t="e">
        <f ca="1">$N28/W28</f>
        <v>#VALUE!</v>
      </c>
      <c r="BO28" s="400" t="e">
        <f ca="1">$N28/AK28</f>
        <v>#VALUE!</v>
      </c>
      <c r="BP28" s="400" t="e">
        <f ca="1">$N28/AL28</f>
        <v>#VALUE!</v>
      </c>
      <c r="BQ28" s="400" t="e">
        <f ca="1">$N28/AM28</f>
        <v>#VALUE!</v>
      </c>
      <c r="BR28" s="400" t="e">
        <f ca="1">$N28/AN28</f>
        <v>#VALUE!</v>
      </c>
      <c r="BS28" s="400" t="e">
        <f ca="1">$N28/AO28</f>
        <v>#VALUE!</v>
      </c>
      <c r="BT28" s="400" t="e">
        <f ca="1">$H28/AT28</f>
        <v>#VALUE!</v>
      </c>
      <c r="BU28" s="400" t="e">
        <f ca="1">$H28/AU28</f>
        <v>#VALUE!</v>
      </c>
      <c r="BV28" s="400" t="e">
        <f ca="1">$H28/AV28</f>
        <v>#VALUE!</v>
      </c>
      <c r="BW28" s="400" t="e">
        <f ca="1">$H28/AW28</f>
        <v>#VALUE!</v>
      </c>
      <c r="BX28" s="400" t="e">
        <f ca="1">$H28/AX28</f>
        <v>#VALUE!</v>
      </c>
      <c r="BY28" s="8" t="e">
        <f ca="1">$H28/BC28</f>
        <v>#VALUE!</v>
      </c>
      <c r="BZ28" s="486" t="e">
        <f ca="1">$H28/BD28</f>
        <v>#VALUE!</v>
      </c>
      <c r="CA28" s="400" t="e">
        <f ca="1">$H28/BE28</f>
        <v>#VALUE!</v>
      </c>
      <c r="CB28" s="400" t="e">
        <f ca="1">$H28/BF28</f>
        <v>#VALUE!</v>
      </c>
      <c r="CC28" s="400" t="e">
        <f ca="1">$H28/BG28</f>
        <v>#VALUE!</v>
      </c>
      <c r="CD28" s="12">
        <v>20</v>
      </c>
      <c r="CE28" s="167">
        <v>20</v>
      </c>
      <c r="CF28" s="12">
        <v>20</v>
      </c>
      <c r="CG28" s="12">
        <v>20</v>
      </c>
      <c r="CH28" s="12">
        <v>25</v>
      </c>
      <c r="CI28" s="46">
        <v>642.5204929445656</v>
      </c>
      <c r="CJ28" s="46">
        <v>759.21610206961498</v>
      </c>
      <c r="CK28" s="46">
        <v>892.99526919546918</v>
      </c>
      <c r="CL28" s="46">
        <v>1050.5757023533372</v>
      </c>
      <c r="CM28" s="46">
        <v>1236.1775925604047</v>
      </c>
      <c r="CN28" s="43">
        <f>CD28*BD28</f>
        <v>475.94110588486342</v>
      </c>
      <c r="CO28" s="43">
        <f>CE28*BE28</f>
        <v>562.38229782934445</v>
      </c>
      <c r="CP28" s="43">
        <f>CF28*BF28</f>
        <v>661.47797718182903</v>
      </c>
      <c r="CQ28" s="43">
        <f>CG28*BG28</f>
        <v>778.20422396543495</v>
      </c>
      <c r="CR28" s="7"/>
      <c r="CS28" s="7"/>
      <c r="CT28" s="7"/>
      <c r="CU28" s="7"/>
      <c r="CV28" s="7"/>
      <c r="CW28" s="7"/>
      <c r="CX28" s="19"/>
      <c r="CY28" s="19"/>
      <c r="CZ28" s="19"/>
      <c r="DA28" s="19"/>
      <c r="DB28" s="19"/>
      <c r="DC28" s="40"/>
      <c r="DD28" s="40"/>
      <c r="DE28" s="40"/>
      <c r="DF28" s="40"/>
      <c r="DG28" s="40"/>
      <c r="DH28" s="40"/>
      <c r="DI28" s="40"/>
      <c r="DJ28" s="40"/>
      <c r="DK28" s="40"/>
      <c r="DL28" s="40"/>
      <c r="DM28" s="7"/>
      <c r="DN28" s="7"/>
      <c r="DO28" s="22">
        <v>5.14539454590928</v>
      </c>
      <c r="DP28" s="22">
        <v>6.02350175587714</v>
      </c>
      <c r="DQ28" s="22">
        <v>7.0392601967698702</v>
      </c>
      <c r="DR28" s="22">
        <v>8.2319067880528465</v>
      </c>
      <c r="DS28" s="22">
        <v>9.6318280349201615</v>
      </c>
      <c r="DT28" s="78" t="e">
        <f ca="1">_xlfn.RRI(DT$2,$H28,CN28+$DO28*$DT$2)</f>
        <v>#VALUE!</v>
      </c>
      <c r="DU28" s="78" t="e">
        <f ca="1">_xlfn.RRI(DU$2,$H28,CO28+$DO28*$DT$2+SUM($DP28:DP28))</f>
        <v>#VALUE!</v>
      </c>
      <c r="DV28" s="6" t="e">
        <f ca="1">_xlfn.RRI(DV$2,$H28,CP28+$DO28*$DT$2+SUM($DP28:DQ28))</f>
        <v>#VALUE!</v>
      </c>
      <c r="DW28" s="6" t="e">
        <f ca="1">_xlfn.RRI(DW$2,$H28,CQ28+$DO28*$DT$2+SUM($DP28:DR28))</f>
        <v>#VALUE!</v>
      </c>
      <c r="DX28" s="171" t="e">
        <f ca="1">SUM(CN28,$DO28:DO28)/$H28</f>
        <v>#VALUE!</v>
      </c>
      <c r="DY28" s="132" t="e">
        <f ca="1">SUM(CO28,$DO28:DP28)/$H28</f>
        <v>#VALUE!</v>
      </c>
      <c r="DZ28" s="132" t="e">
        <f ca="1">SUM(CP28,$DO28:DQ28)/$H28</f>
        <v>#VALUE!</v>
      </c>
      <c r="EA28" s="132" t="e">
        <f ca="1">SUM(CQ28,$DO28:DR28)/$H28</f>
        <v>#VALUE!</v>
      </c>
      <c r="EB28" s="78" cm="1">
        <f t="array" ref="EB28">_xll.BDP(""&amp;$B28&amp;"","CHG_PCT_1M")/100</f>
        <v>-0.2362292</v>
      </c>
      <c r="EC28" s="6" cm="1">
        <f t="array" ref="EC28">_xll.BDP(""&amp;$B28&amp;"","CHG_PCT_3M")/100</f>
        <v>-0.37092920000000001</v>
      </c>
      <c r="ED28" s="194" cm="1">
        <f t="array" ref="ED28">_xll.BDP(""&amp;$B28&amp;"","CHG_PCT_6M")/100</f>
        <v>-0.53875110000000004</v>
      </c>
      <c r="EE28" s="363"/>
      <c r="EF28" s="6"/>
      <c r="EG28" s="363"/>
      <c r="EH28" s="6"/>
      <c r="EI28" s="363"/>
      <c r="EJ28" s="6"/>
      <c r="EK28" s="194"/>
      <c r="EL28" s="6"/>
      <c r="EM28" s="194"/>
      <c r="EN28" s="163" cm="1">
        <f t="array" ref="EN28">_xll.BDP(B28,"AVG_DAILY_VALUE_TRADED_3M")/10^6</f>
        <v>1592.4418559999999</v>
      </c>
      <c r="EQ28" s="361">
        <f ca="1">IFERROR(AVERAGE(DP28:DQ28)/H28,0)</f>
        <v>0</v>
      </c>
      <c r="ER28" s="361">
        <f ca="1">_xlfn.RRI(2+$DT$2,$DT$2*(BC28)+(1-$DT$2)*(BD28),(BF28))</f>
        <v>0.17991028606546933</v>
      </c>
      <c r="ES28" s="127"/>
      <c r="EX28" s="292"/>
      <c r="EY28" s="292"/>
      <c r="EZ28" s="292"/>
      <c r="FA28" s="292"/>
      <c r="FB28" s="292"/>
      <c r="FC28" s="292"/>
      <c r="FD28" s="292"/>
      <c r="FE28" s="292"/>
      <c r="FF28" s="296">
        <v>0.15</v>
      </c>
      <c r="FG28" s="296">
        <v>-0.2</v>
      </c>
      <c r="FH28" s="295">
        <f>FF28-FG28</f>
        <v>0.35</v>
      </c>
      <c r="FI28" s="298">
        <f>FT28/CF28-1</f>
        <v>0.39999999999999991</v>
      </c>
      <c r="FJ28" s="298">
        <f>FU28/CF28-1</f>
        <v>-0.19999999999999996</v>
      </c>
      <c r="FK28" s="295">
        <f>FI28-FJ28</f>
        <v>0.59999999999999987</v>
      </c>
      <c r="FL28" s="15">
        <f>FF28+FG28</f>
        <v>-5.0000000000000017E-2</v>
      </c>
      <c r="FM28" s="15">
        <f>FJ28+FI28</f>
        <v>0.19999999999999996</v>
      </c>
      <c r="FN28" s="15">
        <f>EK28+FF28/3+FI28/3</f>
        <v>0.18333333333333329</v>
      </c>
      <c r="FO28" s="15">
        <f>EK28+FG28/3+FJ28/3</f>
        <v>-0.1333333333333333</v>
      </c>
      <c r="FP28" s="300">
        <f>EK28+FL28/3+FM28/3</f>
        <v>4.9999999999999975E-2</v>
      </c>
      <c r="FQ28" s="15">
        <f>EK28</f>
        <v>0</v>
      </c>
      <c r="FR28" s="300">
        <f>FP28-FQ28</f>
        <v>4.9999999999999975E-2</v>
      </c>
      <c r="FS28" s="15">
        <f>FN28-FO28</f>
        <v>0.3166666666666666</v>
      </c>
      <c r="FT28" s="294">
        <v>28</v>
      </c>
      <c r="FU28" s="294">
        <v>16</v>
      </c>
    </row>
    <row r="29" spans="2:178" x14ac:dyDescent="0.25">
      <c r="B29" t="s">
        <v>54</v>
      </c>
      <c r="D29" s="38" t="s">
        <v>38</v>
      </c>
      <c r="E29" s="392"/>
      <c r="F29" s="413">
        <v>45990</v>
      </c>
      <c r="G29" s="392"/>
      <c r="H29" s="414" t="str" cm="1">
        <f t="array" aca="1" ref="H29" ca="1">_xll.BQL($B29, "px_last", "dates=" &amp; _xll.BQL.DATE($D$2))</f>
        <v>#N/A Connection</v>
      </c>
      <c r="I29" s="25">
        <v>1328</v>
      </c>
      <c r="J29" s="25">
        <v>-3910</v>
      </c>
      <c r="K29" s="2">
        <f>1145+1443</f>
        <v>2588</v>
      </c>
      <c r="L29" s="433">
        <v>5.5</v>
      </c>
      <c r="M29" s="76">
        <f t="shared" si="121"/>
        <v>-1322</v>
      </c>
      <c r="N29" s="76" t="e">
        <f t="shared" ca="1" si="122"/>
        <v>#VALUE!</v>
      </c>
      <c r="O29" s="396">
        <v>5665.5263825156799</v>
      </c>
      <c r="P29" s="396">
        <v>5951.3991358217063</v>
      </c>
      <c r="Q29" s="396">
        <v>6213.5793619444003</v>
      </c>
      <c r="R29" s="396">
        <v>6239.5743315210157</v>
      </c>
      <c r="S29" s="396">
        <v>6347.1427721881064</v>
      </c>
      <c r="T29" s="396">
        <v>6759.7070523803332</v>
      </c>
      <c r="U29" s="396">
        <v>7199.0880107850553</v>
      </c>
      <c r="V29" s="396">
        <v>7703.0241715400089</v>
      </c>
      <c r="W29" s="396">
        <v>8242.2358635478104</v>
      </c>
      <c r="X29" s="4">
        <f t="shared" ref="X29:AF30" si="140">AG29/O29</f>
        <v>0.83939678605257184</v>
      </c>
      <c r="Y29" s="4">
        <f t="shared" si="140"/>
        <v>0.8396263719489897</v>
      </c>
      <c r="Z29" s="4">
        <f t="shared" si="140"/>
        <v>0.8391415460328755</v>
      </c>
      <c r="AA29" s="4">
        <f t="shared" si="140"/>
        <v>0.84040682793885157</v>
      </c>
      <c r="AB29" s="4">
        <f t="shared" si="140"/>
        <v>0.84</v>
      </c>
      <c r="AC29" s="4">
        <f t="shared" si="140"/>
        <v>0.84</v>
      </c>
      <c r="AD29" s="4">
        <f t="shared" si="140"/>
        <v>0.84</v>
      </c>
      <c r="AE29" s="4">
        <f t="shared" si="140"/>
        <v>0.84</v>
      </c>
      <c r="AF29" s="4">
        <f t="shared" si="140"/>
        <v>0.84</v>
      </c>
      <c r="AG29" s="396">
        <v>4755.6246367797157</v>
      </c>
      <c r="AH29" s="396">
        <v>4996.9516644303321</v>
      </c>
      <c r="AI29" s="396">
        <v>5214.0725921799922</v>
      </c>
      <c r="AJ29" s="396">
        <v>5243.7808716422569</v>
      </c>
      <c r="AK29" s="396">
        <v>5331.5999286380093</v>
      </c>
      <c r="AL29" s="396">
        <v>5678.15392399948</v>
      </c>
      <c r="AM29" s="396">
        <v>6047.2339290594464</v>
      </c>
      <c r="AN29" s="396">
        <v>6470.5403040936071</v>
      </c>
      <c r="AO29" s="396">
        <v>6923.4781253801602</v>
      </c>
      <c r="AP29" s="415">
        <v>1.1346955395960416</v>
      </c>
      <c r="AQ29" s="415">
        <v>1.1952827204769103</v>
      </c>
      <c r="AR29" s="415">
        <v>1.2788021469304727</v>
      </c>
      <c r="AS29" s="415">
        <v>1.3076858338567257</v>
      </c>
      <c r="AT29" s="415">
        <v>1.33626934100348</v>
      </c>
      <c r="AU29" s="415">
        <v>1.4388746345522332</v>
      </c>
      <c r="AV29" s="415">
        <v>1.5697437697986787</v>
      </c>
      <c r="AW29" s="415">
        <v>1.7210108999834823</v>
      </c>
      <c r="AX29" s="415">
        <v>1.8709968748051311</v>
      </c>
      <c r="AY29" s="415">
        <v>1.0342553071310174</v>
      </c>
      <c r="AZ29" s="415">
        <v>1.049260552797272</v>
      </c>
      <c r="BA29" s="415">
        <v>1.1293072515263849</v>
      </c>
      <c r="BB29" s="434">
        <v>1.1523712655784828</v>
      </c>
      <c r="BC29" s="434">
        <v>1.1791617283698124</v>
      </c>
      <c r="BD29" s="434">
        <v>1.2729798899345841</v>
      </c>
      <c r="BE29" s="434">
        <v>1.3930658667808822</v>
      </c>
      <c r="BF29" s="434">
        <v>1.5366916776601665</v>
      </c>
      <c r="BG29" s="434">
        <v>1.673775306919183</v>
      </c>
      <c r="BH29" s="400" t="e">
        <f t="shared" ref="BH29:BN30" ca="1" si="141">$N29/Q29</f>
        <v>#VALUE!</v>
      </c>
      <c r="BI29" s="400" t="e">
        <f t="shared" ca="1" si="141"/>
        <v>#VALUE!</v>
      </c>
      <c r="BJ29" s="400" t="e">
        <f t="shared" ca="1" si="141"/>
        <v>#VALUE!</v>
      </c>
      <c r="BK29" s="400" t="e">
        <f t="shared" ca="1" si="141"/>
        <v>#VALUE!</v>
      </c>
      <c r="BL29" s="400" t="e">
        <f t="shared" ca="1" si="141"/>
        <v>#VALUE!</v>
      </c>
      <c r="BM29" s="400" t="e">
        <f t="shared" ca="1" si="141"/>
        <v>#VALUE!</v>
      </c>
      <c r="BN29" s="400" t="e">
        <f t="shared" ca="1" si="141"/>
        <v>#VALUE!</v>
      </c>
      <c r="BO29" s="400" t="e">
        <f t="shared" ref="BO29:BS32" ca="1" si="142">$N29/AK29</f>
        <v>#VALUE!</v>
      </c>
      <c r="BP29" s="400" t="e">
        <f t="shared" ca="1" si="142"/>
        <v>#VALUE!</v>
      </c>
      <c r="BQ29" s="400" t="e">
        <f t="shared" ca="1" si="142"/>
        <v>#VALUE!</v>
      </c>
      <c r="BR29" s="400" t="e">
        <f t="shared" ca="1" si="142"/>
        <v>#VALUE!</v>
      </c>
      <c r="BS29" s="400" t="e">
        <f t="shared" ca="1" si="142"/>
        <v>#VALUE!</v>
      </c>
      <c r="BT29" s="400" t="e">
        <f t="shared" ref="BT29:BX32" ca="1" si="143">$H29/AT29</f>
        <v>#VALUE!</v>
      </c>
      <c r="BU29" s="400" t="e">
        <f t="shared" ca="1" si="143"/>
        <v>#VALUE!</v>
      </c>
      <c r="BV29" s="400" t="e">
        <f t="shared" ca="1" si="143"/>
        <v>#VALUE!</v>
      </c>
      <c r="BW29" s="400" t="e">
        <f t="shared" ca="1" si="143"/>
        <v>#VALUE!</v>
      </c>
      <c r="BX29" s="400" t="e">
        <f t="shared" ca="1" si="143"/>
        <v>#VALUE!</v>
      </c>
      <c r="BY29" s="8" t="e">
        <f t="shared" ref="BY29:CC32" ca="1" si="144">$H29/BC29</f>
        <v>#VALUE!</v>
      </c>
      <c r="BZ29" s="400" t="e">
        <f t="shared" ca="1" si="144"/>
        <v>#VALUE!</v>
      </c>
      <c r="CA29" s="400" t="e">
        <f t="shared" ca="1" si="144"/>
        <v>#VALUE!</v>
      </c>
      <c r="CB29" s="400" t="e">
        <f t="shared" ca="1" si="144"/>
        <v>#VALUE!</v>
      </c>
      <c r="CC29" s="400" t="e">
        <f t="shared" ca="1" si="144"/>
        <v>#VALUE!</v>
      </c>
      <c r="CD29" s="12">
        <v>18</v>
      </c>
      <c r="CE29" s="167">
        <v>18</v>
      </c>
      <c r="CF29" s="12">
        <v>18</v>
      </c>
      <c r="CG29" s="12">
        <v>18</v>
      </c>
      <c r="CH29" s="82">
        <v>20</v>
      </c>
      <c r="CI29" s="83">
        <v>39.85317999669082</v>
      </c>
      <c r="CJ29" s="83">
        <v>45.040970996596243</v>
      </c>
      <c r="CK29" s="83">
        <v>50.913963202403721</v>
      </c>
      <c r="CL29" s="83">
        <v>56.580432929010001</v>
      </c>
      <c r="CM29" s="83">
        <v>63.401039890724839</v>
      </c>
      <c r="CN29" s="84">
        <f>CD29*BD29+CS29</f>
        <v>25.119170547529318</v>
      </c>
      <c r="CO29" s="84">
        <f>CE29*BE29+CT29</f>
        <v>28.258535223377812</v>
      </c>
      <c r="CP29" s="84">
        <f>CF29*BF29+CU29</f>
        <v>31.921218237669581</v>
      </c>
      <c r="CQ29" s="84">
        <f>CG29*BG29+CV29</f>
        <v>35.585642543153192</v>
      </c>
      <c r="CR29" s="85"/>
      <c r="CS29" s="85">
        <v>2.2055325287068031</v>
      </c>
      <c r="CT29" s="85">
        <v>3.1833496213219328</v>
      </c>
      <c r="CU29" s="85">
        <v>4.2607680397865861</v>
      </c>
      <c r="CV29" s="85">
        <v>5.4576870186078974</v>
      </c>
      <c r="CW29" s="85">
        <v>6.7462160067653869</v>
      </c>
      <c r="CX29" s="84"/>
      <c r="CY29" s="84"/>
      <c r="CZ29" s="84"/>
      <c r="DA29" s="84"/>
      <c r="DB29" s="84"/>
      <c r="DC29" s="40">
        <v>1328.3510000000001</v>
      </c>
      <c r="DD29" s="40">
        <v>1328.3510000000001</v>
      </c>
      <c r="DE29" s="40">
        <v>1328.3510000000001</v>
      </c>
      <c r="DF29" s="40">
        <v>1328.3510000000001</v>
      </c>
      <c r="DG29" s="40">
        <v>1328.3510000000001</v>
      </c>
      <c r="DH29" s="40"/>
      <c r="DI29" s="40"/>
      <c r="DJ29" s="40"/>
      <c r="DK29" s="40"/>
      <c r="DL29" s="40"/>
      <c r="DM29" s="85"/>
      <c r="DN29" s="85"/>
      <c r="DO29" s="85">
        <v>0.29899999999999999</v>
      </c>
      <c r="DP29" s="85">
        <v>0.34384999999999993</v>
      </c>
      <c r="DQ29" s="85">
        <v>0.39542749999999988</v>
      </c>
      <c r="DR29" s="85">
        <v>0.45474162499999982</v>
      </c>
      <c r="DS29" s="85">
        <v>0.5229528687499998</v>
      </c>
      <c r="DT29" s="78" t="e">
        <f t="shared" ca="1" si="124"/>
        <v>#VALUE!</v>
      </c>
      <c r="DU29" s="78" t="e">
        <f ca="1">_xlfn.RRI(DU$2,$H29,CO29+$DO29*$DT$2+SUM($DP29:DP29))</f>
        <v>#VALUE!</v>
      </c>
      <c r="DV29" s="6" t="e">
        <f ca="1">_xlfn.RRI(DV$2,$H29,CP29+$DO29*$DT$2+SUM($DP29:DQ29))</f>
        <v>#VALUE!</v>
      </c>
      <c r="DW29" s="6" t="e">
        <f ca="1">_xlfn.RRI(DW$2,$H29,CQ29+$DO29*$DT$2+SUM($DP29:DR29))</f>
        <v>#VALUE!</v>
      </c>
      <c r="DX29" s="171" t="e">
        <f ca="1">SUM(CN29,$DO29:DO29)/$H29</f>
        <v>#VALUE!</v>
      </c>
      <c r="DY29" s="132" t="e">
        <f ca="1">SUM(CO29,$DO29:DP29)/$H29</f>
        <v>#VALUE!</v>
      </c>
      <c r="DZ29" s="132" t="e">
        <f ca="1">SUM(CP29,$DO29:DQ29)/$H29</f>
        <v>#VALUE!</v>
      </c>
      <c r="EA29" s="132" t="e">
        <f ca="1">SUM(CQ29,$DO29:DR29)/$H29</f>
        <v>#VALUE!</v>
      </c>
      <c r="EB29" s="78" cm="1">
        <f t="array" ref="EB29">_xll.BDP(""&amp;$B29&amp;"","CHG_PCT_1M")/100</f>
        <v>8.1862330000000011E-3</v>
      </c>
      <c r="EC29" s="6" cm="1">
        <f t="array" ref="EC29">_xll.BDP(""&amp;$B29&amp;"","CHG_PCT_3M")/100</f>
        <v>5.1774719999999996E-2</v>
      </c>
      <c r="ED29" s="194" cm="1">
        <f t="array" ref="ED29">_xll.BDP(""&amp;$B29&amp;"","CHG_PCT_6M")/100</f>
        <v>-0.16184599999999999</v>
      </c>
      <c r="EE29" s="363">
        <f ca="1">_xlfn.RRI(2+$DT$2,$DT$2*S29+(1-$DT$2)*T29,V29)</f>
        <v>6.6746893862784873E-2</v>
      </c>
      <c r="EF29" s="175">
        <f ca="1">EG29-EE29</f>
        <v>2.7441661370555481E-2</v>
      </c>
      <c r="EG29" s="363">
        <f ca="1">_xlfn.RRI(2+$DT$2,$DT$2*(BC29*DC29)+(1-$DT$2)*(BD29*DD29),(BF29*DF29))</f>
        <v>9.4188555233340354E-2</v>
      </c>
      <c r="EH29" s="6">
        <f ca="1">EI29-EG29</f>
        <v>-2.2204460492503131E-16</v>
      </c>
      <c r="EI29" s="363">
        <f ca="1">ER29+EQ29</f>
        <v>9.4188555233340132E-2</v>
      </c>
      <c r="EJ29" s="6" t="e">
        <f ca="1">EK29-EI29</f>
        <v>#VALUE!</v>
      </c>
      <c r="EK29" s="194" t="e">
        <f ca="1">DV29</f>
        <v>#VALUE!</v>
      </c>
      <c r="EL29" s="6">
        <f>_xlfn.RRI(3,AK29,AN29)</f>
        <v>6.666406520632906E-2</v>
      </c>
      <c r="EM29" s="194">
        <f>_xlfn.RRI(3,BC29,BF29)</f>
        <v>9.2289573464782171E-2</v>
      </c>
      <c r="EN29" s="162" cm="1">
        <f t="array" ref="EN29">_xll.BDP(B29,"AVG_DAILY_VALUE_TRADED_3M")/10^6</f>
        <v>50.92022</v>
      </c>
      <c r="EQ29" s="361">
        <f t="shared" ca="1" si="125"/>
        <v>0</v>
      </c>
      <c r="ER29" s="361">
        <f t="shared" ca="1" si="126"/>
        <v>9.4188555233340132E-2</v>
      </c>
      <c r="ES29" s="127">
        <f ca="1">ER29-EG29+EQ29</f>
        <v>-2.2204460492503131E-16</v>
      </c>
      <c r="EX29" s="352" cm="1">
        <f t="array" ref="EX29">_xll.BQL("DSY FP Equity", "IS_COMP_EPS_ADJUSTED_OLD", "FPT=A", "FPr="&amp;EX$5&amp;"", "ACT_EST_MAPPING=PRECISE", "FS=MRC", "CURRENCY=EUR", "XLFILL=b")</f>
        <v>1.3194736842105264</v>
      </c>
      <c r="EY29" s="352" cm="1">
        <f t="array" ref="EY29">_xll.BQL("DSY FP Equity", "IS_COMP_EPS_ADJUSTED_OLD", "FPT=A", "FPr="&amp;EY5&amp;"", "ACT_EST_MAPPING=PRECISE", "FS=MRC", "CURRENCY=EUR", "XLFILL=b")</f>
        <v>1.3709090909090909</v>
      </c>
      <c r="EZ29" s="352" cm="1">
        <f t="array" ref="EZ29">_xll.BQL("DSY FP Equity", "IS_COMP_EPS_ADJUSTED_OLD", "FPT=A", "FPr="&amp;EZ5&amp;"", "ACT_EST_MAPPING=PRECISE", "FS=MRC", "CURRENCY=EUR", "XLFILL=b")</f>
        <v>1.468333333333333</v>
      </c>
      <c r="FA29" s="352" cm="1">
        <f t="array" ref="FA29">_xll.BQL("DSY FP Equity", "IS_COMP_EPS_ADJUSTED_OLD", "FPT=A", "FPr="&amp;FA5&amp;"", "ACT_EST_MAPPING=PRECISE", "FS=MRC", "CURRENCY=EUR", "XLFILL=b")</f>
        <v>1.5649999999999999</v>
      </c>
      <c r="FB29" s="351">
        <f t="shared" ref="FB29:FE30" si="145">AT29/EX29-1</f>
        <v>1.2729057800802579E-2</v>
      </c>
      <c r="FC29" s="351">
        <f t="shared" si="145"/>
        <v>4.9576988068605221E-2</v>
      </c>
      <c r="FD29" s="351">
        <f t="shared" si="145"/>
        <v>6.9064996457670169E-2</v>
      </c>
      <c r="FE29" s="351">
        <f t="shared" si="145"/>
        <v>9.9687476027784383E-2</v>
      </c>
      <c r="FF29" s="296">
        <v>0.1</v>
      </c>
      <c r="FG29" s="296">
        <v>-0.2</v>
      </c>
      <c r="FH29" s="295">
        <f t="shared" si="127"/>
        <v>0.30000000000000004</v>
      </c>
      <c r="FI29" s="298">
        <f t="shared" si="128"/>
        <v>0.55555555555555558</v>
      </c>
      <c r="FJ29" s="298">
        <f t="shared" si="129"/>
        <v>-0.44444444444444442</v>
      </c>
      <c r="FK29" s="295">
        <f t="shared" si="130"/>
        <v>1</v>
      </c>
      <c r="FL29" s="15">
        <f t="shared" si="131"/>
        <v>-0.1</v>
      </c>
      <c r="FM29" s="15">
        <f t="shared" si="132"/>
        <v>0.11111111111111116</v>
      </c>
      <c r="FN29" s="15" t="e">
        <f t="shared" ca="1" si="133"/>
        <v>#VALUE!</v>
      </c>
      <c r="FO29" s="15" t="e">
        <f t="shared" ca="1" si="134"/>
        <v>#VALUE!</v>
      </c>
      <c r="FP29" s="300" t="e">
        <f t="shared" ca="1" si="135"/>
        <v>#VALUE!</v>
      </c>
      <c r="FQ29" s="15" t="e">
        <f t="shared" ca="1" si="136"/>
        <v>#VALUE!</v>
      </c>
      <c r="FR29" s="300" t="e">
        <f t="shared" ca="1" si="137"/>
        <v>#VALUE!</v>
      </c>
      <c r="FS29" s="15" t="e">
        <f t="shared" ca="1" si="138"/>
        <v>#VALUE!</v>
      </c>
      <c r="FT29" s="294">
        <v>28</v>
      </c>
      <c r="FU29" s="294">
        <v>10</v>
      </c>
    </row>
    <row r="30" spans="2:178" x14ac:dyDescent="0.25">
      <c r="B30" s="10" t="s">
        <v>19</v>
      </c>
      <c r="C30" s="10"/>
      <c r="D30" s="38" t="s">
        <v>37</v>
      </c>
      <c r="E30" s="291">
        <v>2</v>
      </c>
      <c r="F30" s="413">
        <v>45987</v>
      </c>
      <c r="G30" s="394"/>
      <c r="H30" s="411" t="str" cm="1">
        <f t="array" aca="1" ref="H30" ca="1">_xll.BQL($B30, "px_last", "dates=" &amp; _xll.BQL.DATE($D$2))</f>
        <v>#N/A Connection</v>
      </c>
      <c r="I30" s="39" cm="1">
        <f t="array" ref="I30">_xll.BQL(""&amp;B30&amp;"", "CB_IS_ADJ_DILUTED_AVG_SHS/1M", "FPT=Q", "FPO=0Q", "ACT_EST_MAPPING=PRECISE", "FS=MRC", "CURRENCY=USD", "XLFILL=b")</f>
        <v>212</v>
      </c>
      <c r="J30" s="25">
        <v>-2236</v>
      </c>
      <c r="K30" s="2">
        <v>2481</v>
      </c>
      <c r="L30" s="2"/>
      <c r="M30" s="76">
        <f t="shared" si="121"/>
        <v>245</v>
      </c>
      <c r="N30" s="76" t="e">
        <f t="shared" ca="1" si="122"/>
        <v>#VALUE!</v>
      </c>
      <c r="O30" s="396">
        <v>5005</v>
      </c>
      <c r="P30" s="396">
        <v>5497</v>
      </c>
      <c r="Q30" s="396">
        <v>6131</v>
      </c>
      <c r="R30" s="396">
        <v>7163.5943950858727</v>
      </c>
      <c r="S30" s="396">
        <v>8033.9294878308101</v>
      </c>
      <c r="T30" s="396">
        <v>8899.6560969511374</v>
      </c>
      <c r="U30" s="396">
        <v>9836.7868349397959</v>
      </c>
      <c r="V30" s="396">
        <v>10567.905875955987</v>
      </c>
      <c r="W30" s="396">
        <v>11329</v>
      </c>
      <c r="X30" s="4">
        <f t="shared" si="140"/>
        <v>0.92387612387612383</v>
      </c>
      <c r="Y30" s="4">
        <f t="shared" si="140"/>
        <v>0.92414044024013098</v>
      </c>
      <c r="Z30" s="4">
        <f t="shared" si="140"/>
        <v>0.92692872288370576</v>
      </c>
      <c r="AA30" s="4">
        <f t="shared" si="140"/>
        <v>0.93948958807312821</v>
      </c>
      <c r="AB30" s="4">
        <f t="shared" si="140"/>
        <v>0.94497064109644469</v>
      </c>
      <c r="AC30" s="4">
        <f t="shared" si="140"/>
        <v>0.94634816739643968</v>
      </c>
      <c r="AD30" s="4">
        <f t="shared" si="140"/>
        <v>0.94773818054988768</v>
      </c>
      <c r="AE30" s="4">
        <f t="shared" si="140"/>
        <v>0.94773818054988768</v>
      </c>
      <c r="AF30" s="4">
        <f t="shared" si="140"/>
        <v>0.94773293652774482</v>
      </c>
      <c r="AG30" s="397">
        <v>4624</v>
      </c>
      <c r="AH30" s="397">
        <v>5080</v>
      </c>
      <c r="AI30" s="397">
        <v>5683</v>
      </c>
      <c r="AJ30" s="397">
        <v>6730.1223473621967</v>
      </c>
      <c r="AK30" s="397">
        <v>7591.8274986391125</v>
      </c>
      <c r="AL30" s="397">
        <v>8422.1732378082597</v>
      </c>
      <c r="AM30" s="397">
        <v>9322.6984574029302</v>
      </c>
      <c r="AN30" s="397">
        <v>10015.607887100994</v>
      </c>
      <c r="AO30" s="397">
        <v>10736.866437922821</v>
      </c>
      <c r="AP30" s="398">
        <v>6.6284403669724767</v>
      </c>
      <c r="AQ30" s="398">
        <v>7.6064814814814818</v>
      </c>
      <c r="AR30" s="398">
        <v>8.4746543778801851</v>
      </c>
      <c r="AS30" s="398">
        <v>10.251992961819862</v>
      </c>
      <c r="AT30" s="398">
        <v>12.167684283472573</v>
      </c>
      <c r="AU30" s="398">
        <v>14.530859944135434</v>
      </c>
      <c r="AV30" s="398">
        <v>17.248806320916767</v>
      </c>
      <c r="AW30" s="399">
        <v>19.883967426837742</v>
      </c>
      <c r="AX30" s="399">
        <v>22.82</v>
      </c>
      <c r="AY30" s="398">
        <v>4.1156484989645303</v>
      </c>
      <c r="AZ30" s="398">
        <v>4.9368077513359587</v>
      </c>
      <c r="BA30" s="398">
        <v>5.9147191496874028</v>
      </c>
      <c r="BB30" s="398">
        <v>7.5987971260000808</v>
      </c>
      <c r="BC30" s="398">
        <v>9.4111835977816405</v>
      </c>
      <c r="BD30" s="398">
        <v>11.687000654894684</v>
      </c>
      <c r="BE30" s="398">
        <v>14.338177082425609</v>
      </c>
      <c r="BF30" s="399">
        <v>16.764465088412191</v>
      </c>
      <c r="BG30" s="399">
        <v>19.352083633203886</v>
      </c>
      <c r="BH30" s="400" t="e">
        <f t="shared" ca="1" si="141"/>
        <v>#VALUE!</v>
      </c>
      <c r="BI30" s="400" t="e">
        <f t="shared" ca="1" si="141"/>
        <v>#VALUE!</v>
      </c>
      <c r="BJ30" s="400" t="e">
        <f t="shared" ca="1" si="141"/>
        <v>#VALUE!</v>
      </c>
      <c r="BK30" s="400" t="e">
        <f t="shared" ca="1" si="141"/>
        <v>#VALUE!</v>
      </c>
      <c r="BL30" s="400" t="e">
        <f t="shared" ca="1" si="141"/>
        <v>#VALUE!</v>
      </c>
      <c r="BM30" s="400" t="e">
        <f t="shared" ca="1" si="141"/>
        <v>#VALUE!</v>
      </c>
      <c r="BN30" s="400" t="e">
        <f t="shared" ca="1" si="141"/>
        <v>#VALUE!</v>
      </c>
      <c r="BO30" s="400" t="e">
        <f t="shared" ca="1" si="142"/>
        <v>#VALUE!</v>
      </c>
      <c r="BP30" s="400" t="e">
        <f t="shared" ca="1" si="142"/>
        <v>#VALUE!</v>
      </c>
      <c r="BQ30" s="400" t="e">
        <f t="shared" ca="1" si="142"/>
        <v>#VALUE!</v>
      </c>
      <c r="BR30" s="400" t="e">
        <f t="shared" ca="1" si="142"/>
        <v>#VALUE!</v>
      </c>
      <c r="BS30" s="400" t="e">
        <f t="shared" ca="1" si="142"/>
        <v>#VALUE!</v>
      </c>
      <c r="BT30" s="400" t="e">
        <f t="shared" ca="1" si="143"/>
        <v>#VALUE!</v>
      </c>
      <c r="BU30" s="400" t="e">
        <f t="shared" ca="1" si="143"/>
        <v>#VALUE!</v>
      </c>
      <c r="BV30" s="400" t="e">
        <f t="shared" ca="1" si="143"/>
        <v>#VALUE!</v>
      </c>
      <c r="BW30" s="400" t="e">
        <f t="shared" ca="1" si="143"/>
        <v>#VALUE!</v>
      </c>
      <c r="BX30" s="400" t="e">
        <f t="shared" ca="1" si="143"/>
        <v>#VALUE!</v>
      </c>
      <c r="BY30" s="8" t="e">
        <f t="shared" ca="1" si="144"/>
        <v>#VALUE!</v>
      </c>
      <c r="BZ30" s="400" t="e">
        <f t="shared" ca="1" si="144"/>
        <v>#VALUE!</v>
      </c>
      <c r="CA30" s="400" t="e">
        <f t="shared" ca="1" si="144"/>
        <v>#VALUE!</v>
      </c>
      <c r="CB30" s="400" t="e">
        <f t="shared" ca="1" si="144"/>
        <v>#VALUE!</v>
      </c>
      <c r="CC30" s="400" t="e">
        <f t="shared" ca="1" si="144"/>
        <v>#VALUE!</v>
      </c>
      <c r="CD30" s="12">
        <v>24</v>
      </c>
      <c r="CE30" s="167">
        <v>22</v>
      </c>
      <c r="CF30" s="12">
        <v>22</v>
      </c>
      <c r="CG30" s="12">
        <v>22</v>
      </c>
      <c r="CH30" s="12">
        <v>24</v>
      </c>
      <c r="CI30" s="46">
        <v>361.37</v>
      </c>
      <c r="CJ30" s="46">
        <v>384.69774758455685</v>
      </c>
      <c r="CK30" s="46">
        <v>448.42553936773533</v>
      </c>
      <c r="CL30" s="46">
        <v>516.21179333293685</v>
      </c>
      <c r="CM30" s="46">
        <v>591.48334075116236</v>
      </c>
      <c r="CN30" s="43">
        <f t="shared" ref="CN30:CQ32" si="146">CD30*BD30</f>
        <v>280.48801571747242</v>
      </c>
      <c r="CO30" s="43">
        <f t="shared" si="146"/>
        <v>315.43989581336342</v>
      </c>
      <c r="CP30" s="43">
        <f t="shared" si="146"/>
        <v>368.81823194506819</v>
      </c>
      <c r="CQ30" s="43">
        <f t="shared" si="146"/>
        <v>425.74583993048549</v>
      </c>
      <c r="CR30" s="7"/>
      <c r="CS30" s="7"/>
      <c r="CT30" s="7"/>
      <c r="CU30" s="7"/>
      <c r="CV30" s="7"/>
      <c r="CW30" s="7"/>
      <c r="CX30" s="101">
        <f>CN30*DC30+DH30</f>
        <v>58480.99178644667</v>
      </c>
      <c r="CY30" s="101">
        <f>CO30*DD30+DI30</f>
        <v>63574.477681958146</v>
      </c>
      <c r="CZ30" s="101">
        <f>CP30*DE30+DJ30</f>
        <v>71704.384789475705</v>
      </c>
      <c r="DA30" s="101">
        <f>CQ30*DF30+DK30</f>
        <v>79757.512991021766</v>
      </c>
      <c r="DB30" s="101"/>
      <c r="DC30" s="40">
        <v>207.80920581347939</v>
      </c>
      <c r="DD30" s="40">
        <v>200.93044197383045</v>
      </c>
      <c r="DE30" s="40">
        <v>193.893301891124</v>
      </c>
      <c r="DF30" s="40">
        <v>186.88265516349571</v>
      </c>
      <c r="DG30" s="40">
        <v>180.09897876856564</v>
      </c>
      <c r="DH30" s="40">
        <v>193</v>
      </c>
      <c r="DI30" s="40">
        <v>193</v>
      </c>
      <c r="DJ30" s="40">
        <v>193</v>
      </c>
      <c r="DK30" s="40">
        <v>193</v>
      </c>
      <c r="DL30" s="40">
        <v>193</v>
      </c>
      <c r="DM30" s="7"/>
      <c r="DN30" s="7"/>
      <c r="DO30" s="7"/>
      <c r="DP30" s="7"/>
      <c r="DQ30" s="7"/>
      <c r="DR30" s="7"/>
      <c r="DS30" s="7"/>
      <c r="DT30" s="78" t="e">
        <f t="shared" ca="1" si="124"/>
        <v>#VALUE!</v>
      </c>
      <c r="DU30" s="78" t="e">
        <f ca="1">_xlfn.RRI(DU$2,$H30,CO30+$DO30*$DT$2+SUM($DP30:DP30))</f>
        <v>#VALUE!</v>
      </c>
      <c r="DV30" s="6" t="e">
        <f ca="1">_xlfn.RRI(DV$2,$H30,CP30+$DO30*$DT$2+SUM($DP30:DQ30))</f>
        <v>#VALUE!</v>
      </c>
      <c r="DW30" s="6" t="e">
        <f ca="1">_xlfn.RRI(DW$2,$H30,CQ30+$DO30*$DT$2+SUM($DP30:DR30))</f>
        <v>#VALUE!</v>
      </c>
      <c r="DX30" s="171" t="e">
        <f ca="1">SUM(CN30,$DO30:DO30)/$H30</f>
        <v>#VALUE!</v>
      </c>
      <c r="DY30" s="132" t="e">
        <f ca="1">SUM(CO30,$DO30:DP30)/$H30</f>
        <v>#VALUE!</v>
      </c>
      <c r="DZ30" s="132" t="e">
        <f ca="1">SUM(CP30,$DO30:DQ30)/$H30</f>
        <v>#VALUE!</v>
      </c>
      <c r="EA30" s="132" t="e">
        <f ca="1">SUM(CQ30,$DO30:DR30)/$H30</f>
        <v>#VALUE!</v>
      </c>
      <c r="EB30" s="78" cm="1">
        <f t="array" ref="EB30">_xll.BDP(""&amp;$B30&amp;"","CHG_PCT_1M")/100</f>
        <v>-6.8098159999999991E-2</v>
      </c>
      <c r="EC30" s="6" cm="1">
        <f t="array" ref="EC30">_xll.BDP(""&amp;$B30&amp;"","CHG_PCT_3M")/100</f>
        <v>-0.12697800000000001</v>
      </c>
      <c r="ED30" s="194" cm="1">
        <f t="array" ref="ED30">_xll.BDP(""&amp;$B30&amp;"","CHG_PCT_6M")/100</f>
        <v>-0.24400279999999999</v>
      </c>
      <c r="EE30" s="363">
        <f ca="1">_xlfn.RRI(2+$DT$2,$DT$2*S30+(1-$DT$2)*T30,V30)</f>
        <v>9.3067221372971076E-2</v>
      </c>
      <c r="EF30" s="175">
        <f ca="1">EG30-EE30</f>
        <v>6.9927881015158011E-2</v>
      </c>
      <c r="EG30" s="363">
        <f ca="1">_xlfn.RRI(2+$DT$2,$DT$2*(BC30*DC30)+(1-$DT$2)*(BD30*DD30),(BF30*DF30))</f>
        <v>0.16299510238812909</v>
      </c>
      <c r="EH30" s="6">
        <f ca="1">EI30-EG30</f>
        <v>4.145288886825016E-2</v>
      </c>
      <c r="EI30" s="363">
        <f ca="1">ER30+EQ30</f>
        <v>0.20444799125637925</v>
      </c>
      <c r="EJ30" s="6" t="e">
        <f ca="1">EK30-EI30</f>
        <v>#VALUE!</v>
      </c>
      <c r="EK30" s="194" t="e">
        <f ca="1">DV30</f>
        <v>#VALUE!</v>
      </c>
      <c r="EL30" s="6">
        <f>_xlfn.RRI(3,AK30,AN30)</f>
        <v>9.6756778726385217E-2</v>
      </c>
      <c r="EM30" s="194">
        <f>_xlfn.RRI(3,BC30,BF30)</f>
        <v>0.21222104188198321</v>
      </c>
      <c r="EN30" s="163" cm="1">
        <f t="array" ref="EN30">_xll.BDP(B30,"AVG_DAILY_VALUE_TRADED_3M")/10^6</f>
        <v>502.27158400000002</v>
      </c>
      <c r="EQ30" s="361">
        <f t="shared" ca="1" si="125"/>
        <v>0</v>
      </c>
      <c r="ER30" s="361">
        <f t="shared" ca="1" si="126"/>
        <v>0.20444799125637925</v>
      </c>
      <c r="ES30" s="127">
        <f ca="1">ER30-EG30+EQ30</f>
        <v>4.145288886825016E-2</v>
      </c>
      <c r="EX30" s="353" cm="1">
        <f t="array" ref="EX30">_xll.BQL("ADSK US Equity", "IS_COMP_EPS_EXCL_STOCK_COMP", "FPT=A", "FPr="&amp;EX$5+1&amp;"", "ACT_EST_MAPPING=PRECISE", "FS=MRC", "CURRENCY=USD", "XLFILL=b")</f>
        <v>12.595172413793103</v>
      </c>
      <c r="EY30" s="353" cm="1">
        <f t="array" ref="EY30">_xll.BQL("ADSK US Equity", "IS_COMP_EPS_EXCL_STOCK_COMP", "FPT=A", "FPr="&amp;EY$5+1&amp;"", "ACT_EST_MAPPING=PRECISE", "FS=MRC", "CURRENCY=USD", "XLFILL=b")</f>
        <v>14.222068965517241</v>
      </c>
      <c r="EZ30" s="353" cm="1">
        <f t="array" ref="EZ30">_xll.BQL("ADSK US Equity", "IS_COMP_EPS_EXCL_STOCK_COMP", "FPT=A", "FPr="&amp;EZ$5+1&amp;"", "ACT_EST_MAPPING=PRECISE", "FS=MRC", "CURRENCY=USD", "XLFILL=b")</f>
        <v>16.182857142857145</v>
      </c>
      <c r="FA30" s="353" cm="1">
        <f t="array" ref="FA30">_xll.BQL("ADSK US Equity", "IS_COMP_EPS_EXCL_STOCK_COMP", "FPT=A", "FPr="&amp;FA$5+1&amp;"", "ACT_EST_MAPPING=PRECISE", "FS=MRC", "CURRENCY=USD", "XLFILL=b")</f>
        <v>18.3825</v>
      </c>
      <c r="FB30" s="351">
        <f t="shared" si="145"/>
        <v>-3.39406334646426E-2</v>
      </c>
      <c r="FC30" s="351">
        <f t="shared" si="145"/>
        <v>2.171209965068277E-2</v>
      </c>
      <c r="FD30" s="351">
        <f t="shared" si="145"/>
        <v>6.5869034661170112E-2</v>
      </c>
      <c r="FE30" s="351">
        <f t="shared" si="145"/>
        <v>8.1679174586576364E-2</v>
      </c>
      <c r="FF30" s="296">
        <v>0.15</v>
      </c>
      <c r="FG30" s="296">
        <v>-0.15</v>
      </c>
      <c r="FH30" s="295">
        <f t="shared" si="127"/>
        <v>0.3</v>
      </c>
      <c r="FI30" s="298">
        <f t="shared" si="128"/>
        <v>0.27272727272727271</v>
      </c>
      <c r="FJ30" s="298">
        <f t="shared" si="129"/>
        <v>-0.27272727272727271</v>
      </c>
      <c r="FK30" s="295">
        <f t="shared" si="130"/>
        <v>0.54545454545454541</v>
      </c>
      <c r="FL30" s="15">
        <f t="shared" si="131"/>
        <v>0</v>
      </c>
      <c r="FM30" s="15">
        <f t="shared" si="132"/>
        <v>0</v>
      </c>
      <c r="FN30" s="15" t="e">
        <f t="shared" ca="1" si="133"/>
        <v>#VALUE!</v>
      </c>
      <c r="FO30" s="15" t="e">
        <f t="shared" ca="1" si="134"/>
        <v>#VALUE!</v>
      </c>
      <c r="FP30" s="300" t="e">
        <f t="shared" ca="1" si="135"/>
        <v>#VALUE!</v>
      </c>
      <c r="FQ30" s="15" t="e">
        <f t="shared" ca="1" si="136"/>
        <v>#VALUE!</v>
      </c>
      <c r="FR30" s="300" t="e">
        <f t="shared" ca="1" si="137"/>
        <v>#VALUE!</v>
      </c>
      <c r="FS30" s="15" t="e">
        <f t="shared" ca="1" si="138"/>
        <v>#VALUE!</v>
      </c>
      <c r="FT30" s="294">
        <v>28</v>
      </c>
      <c r="FU30" s="294">
        <v>16</v>
      </c>
    </row>
    <row r="31" spans="2:178" outlineLevel="1" x14ac:dyDescent="0.25">
      <c r="B31" t="s">
        <v>78</v>
      </c>
      <c r="D31" s="38" t="s">
        <v>79</v>
      </c>
      <c r="E31" s="392"/>
      <c r="F31" s="435">
        <v>45901</v>
      </c>
      <c r="G31" s="392"/>
      <c r="H31" s="245" t="str" cm="1">
        <f t="array" aca="1" ref="H31" ca="1">_xll.BQL($B31, "px_last", "dates=" &amp; _xll.BQL.DATE($D$2))</f>
        <v>#N/A Connection</v>
      </c>
      <c r="I31" s="25" cm="1">
        <f t="array" ref="I31">_xll.BQL(""&amp;B31&amp;"", "CB_IS_ADJ_DILUTED_AVG_SHS/1M", "FPT=Q", "FPO=0Q", "ACT_EST_MAPPING=PRECISE", "FS=MRC", "CURRENCY=USD", "XLFILL=b")</f>
        <v>871</v>
      </c>
      <c r="J31" s="25">
        <v>-11323</v>
      </c>
      <c r="K31" s="2">
        <v>8438</v>
      </c>
      <c r="L31" s="392"/>
      <c r="M31" s="23">
        <f t="shared" si="121"/>
        <v>-2885</v>
      </c>
      <c r="N31" s="24" t="e">
        <f t="shared" ca="1" si="122"/>
        <v>#VALUE!</v>
      </c>
      <c r="O31" s="396">
        <v>31352</v>
      </c>
      <c r="P31" s="396">
        <v>34857</v>
      </c>
      <c r="Q31" s="396">
        <v>37895</v>
      </c>
      <c r="R31" s="396">
        <v>41116.074999999997</v>
      </c>
      <c r="S31" s="396">
        <v>44405.360999999997</v>
      </c>
      <c r="T31" s="396">
        <v>47735.763074999995</v>
      </c>
      <c r="U31" s="396">
        <v>51077.266490249996</v>
      </c>
      <c r="V31" s="396">
        <v>54397.288812116247</v>
      </c>
      <c r="W31" s="396">
        <v>57661.126140843226</v>
      </c>
      <c r="X31" s="21">
        <f t="shared" ref="X31:AF32" si="147">AG31/O31</f>
        <v>0.78227864251084456</v>
      </c>
      <c r="Y31" s="21">
        <f t="shared" si="147"/>
        <v>0.79539260406804946</v>
      </c>
      <c r="Z31" s="21">
        <f t="shared" si="147"/>
        <v>0.80538329594933367</v>
      </c>
      <c r="AA31" s="21">
        <f t="shared" si="147"/>
        <v>0.81038329594933367</v>
      </c>
      <c r="AB31" s="21">
        <f t="shared" si="147"/>
        <v>0.81538329594933368</v>
      </c>
      <c r="AC31" s="21">
        <f t="shared" si="147"/>
        <v>0.82038329594933368</v>
      </c>
      <c r="AD31" s="21">
        <f t="shared" si="147"/>
        <v>0.82538329594933368</v>
      </c>
      <c r="AE31" s="21">
        <f t="shared" si="147"/>
        <v>0.83038329594933369</v>
      </c>
      <c r="AF31" s="21">
        <f t="shared" si="147"/>
        <v>0.83538329594933369</v>
      </c>
      <c r="AG31" s="417">
        <v>24526</v>
      </c>
      <c r="AH31" s="417">
        <v>27725</v>
      </c>
      <c r="AI31" s="417">
        <v>30520</v>
      </c>
      <c r="AJ31" s="417">
        <v>33319.780374999995</v>
      </c>
      <c r="AK31" s="417">
        <v>36207.389609999998</v>
      </c>
      <c r="AL31" s="417">
        <v>39161.622646124997</v>
      </c>
      <c r="AM31" s="417">
        <v>42158.322563804999</v>
      </c>
      <c r="AN31" s="417">
        <v>45170.599974512901</v>
      </c>
      <c r="AO31" s="417">
        <v>48169.141603687895</v>
      </c>
      <c r="AP31" s="399">
        <v>5.2397191574724173</v>
      </c>
      <c r="AQ31" s="399">
        <v>8.2184959349593498</v>
      </c>
      <c r="AR31" s="399">
        <v>10.195071868583161</v>
      </c>
      <c r="AS31" s="399">
        <v>11.443808585223104</v>
      </c>
      <c r="AT31" s="399">
        <v>13.15269076858513</v>
      </c>
      <c r="AU31" s="399">
        <v>14.993792385481447</v>
      </c>
      <c r="AV31" s="399">
        <v>16.873156525342441</v>
      </c>
      <c r="AW31" s="399">
        <v>18.777427103670629</v>
      </c>
      <c r="AX31" s="399">
        <v>20.662040886158422</v>
      </c>
      <c r="AY31" s="418">
        <v>2.6902648824347035</v>
      </c>
      <c r="AZ31" s="418">
        <v>6.0517238064254633</v>
      </c>
      <c r="BA31" s="418">
        <v>7.646103699727596</v>
      </c>
      <c r="BB31" s="418">
        <v>8.656132692852573</v>
      </c>
      <c r="BC31" s="418">
        <v>10.182365991873477</v>
      </c>
      <c r="BD31" s="418">
        <v>11.74880878134535</v>
      </c>
      <c r="BE31" s="418">
        <v>13.35134076729746</v>
      </c>
      <c r="BF31" s="418">
        <v>14.975576236385848</v>
      </c>
      <c r="BG31" s="418">
        <v>16.581743551349835</v>
      </c>
      <c r="BH31" s="392"/>
      <c r="BI31" s="392"/>
      <c r="BJ31" s="392"/>
      <c r="BK31" s="392"/>
      <c r="BL31" s="392"/>
      <c r="BM31" s="392"/>
      <c r="BN31" s="392"/>
      <c r="BO31" s="400" t="e">
        <f t="shared" ca="1" si="142"/>
        <v>#VALUE!</v>
      </c>
      <c r="BP31" s="400" t="e">
        <f t="shared" ca="1" si="142"/>
        <v>#VALUE!</v>
      </c>
      <c r="BQ31" s="400" t="e">
        <f t="shared" ca="1" si="142"/>
        <v>#VALUE!</v>
      </c>
      <c r="BR31" s="400" t="e">
        <f t="shared" ca="1" si="142"/>
        <v>#VALUE!</v>
      </c>
      <c r="BS31" s="400" t="e">
        <f t="shared" ca="1" si="142"/>
        <v>#VALUE!</v>
      </c>
      <c r="BT31" s="400" t="e">
        <f t="shared" ca="1" si="143"/>
        <v>#VALUE!</v>
      </c>
      <c r="BU31" s="400" t="e">
        <f t="shared" ca="1" si="143"/>
        <v>#VALUE!</v>
      </c>
      <c r="BV31" s="400" t="e">
        <f t="shared" ca="1" si="143"/>
        <v>#VALUE!</v>
      </c>
      <c r="BW31" s="400" t="e">
        <f t="shared" ca="1" si="143"/>
        <v>#VALUE!</v>
      </c>
      <c r="BX31" s="400" t="e">
        <f t="shared" ca="1" si="143"/>
        <v>#VALUE!</v>
      </c>
      <c r="BY31" s="8" t="e">
        <f t="shared" ca="1" si="144"/>
        <v>#VALUE!</v>
      </c>
      <c r="BZ31" s="400" t="e">
        <f t="shared" ca="1" si="144"/>
        <v>#VALUE!</v>
      </c>
      <c r="CA31" s="400" t="e">
        <f t="shared" ca="1" si="144"/>
        <v>#VALUE!</v>
      </c>
      <c r="CB31" s="400" t="e">
        <f t="shared" ca="1" si="144"/>
        <v>#VALUE!</v>
      </c>
      <c r="CC31" s="400" t="e">
        <f t="shared" ca="1" si="144"/>
        <v>#VALUE!</v>
      </c>
      <c r="CD31" s="12">
        <v>20</v>
      </c>
      <c r="CE31" s="167">
        <v>20</v>
      </c>
      <c r="CF31" s="12">
        <v>20</v>
      </c>
      <c r="CG31" s="12">
        <v>20</v>
      </c>
      <c r="CH31" s="12">
        <v>25</v>
      </c>
      <c r="CI31" s="46">
        <v>293.72021953363372</v>
      </c>
      <c r="CJ31" s="46">
        <v>333.78351918243652</v>
      </c>
      <c r="CK31" s="46">
        <v>374.3894059096462</v>
      </c>
      <c r="CL31" s="46">
        <v>414.54358878374586</v>
      </c>
      <c r="CM31" s="46">
        <v>453.06825680014384</v>
      </c>
      <c r="CN31" s="43">
        <f t="shared" si="146"/>
        <v>234.97617562690698</v>
      </c>
      <c r="CO31" s="43">
        <f t="shared" si="146"/>
        <v>267.02681534594922</v>
      </c>
      <c r="CP31" s="43">
        <f t="shared" si="146"/>
        <v>299.51152472771696</v>
      </c>
      <c r="CQ31" s="43">
        <f t="shared" si="146"/>
        <v>331.63487102699668</v>
      </c>
      <c r="CR31" s="392"/>
      <c r="CS31" s="392"/>
      <c r="CT31" s="392"/>
      <c r="CU31" s="392"/>
      <c r="CV31" s="392"/>
      <c r="CW31" s="392"/>
      <c r="CX31" s="392"/>
      <c r="CY31" s="392"/>
      <c r="CZ31" s="392"/>
      <c r="DA31" s="392"/>
      <c r="DB31" s="392"/>
      <c r="DC31" s="42">
        <v>944.51984846111998</v>
      </c>
      <c r="DD31" s="42">
        <v>917.94350272935003</v>
      </c>
      <c r="DE31" s="42">
        <v>893.68137840247664</v>
      </c>
      <c r="DF31" s="42">
        <v>870.50522675887214</v>
      </c>
      <c r="DG31" s="42">
        <v>848.74384189492025</v>
      </c>
      <c r="DH31" s="392"/>
      <c r="DI31" s="392"/>
      <c r="DJ31" s="392"/>
      <c r="DK31" s="392"/>
      <c r="DL31" s="392"/>
      <c r="DM31" s="392"/>
      <c r="DN31" s="392"/>
      <c r="DO31" s="61">
        <v>1.8399999999999999</v>
      </c>
      <c r="DP31" s="61">
        <v>2.1159999999999997</v>
      </c>
      <c r="DQ31" s="61">
        <v>2.4333999999999993</v>
      </c>
      <c r="DR31" s="61">
        <v>2.7984099999999992</v>
      </c>
      <c r="DS31" s="61">
        <v>3.2181714999999986</v>
      </c>
      <c r="DT31" s="78" t="e">
        <f t="shared" ca="1" si="124"/>
        <v>#VALUE!</v>
      </c>
      <c r="DU31" s="78" t="e">
        <f ca="1">_xlfn.RRI(DU$2,$H31,CO31+$DO31*$DT$2+SUM($DP31:DP31))</f>
        <v>#VALUE!</v>
      </c>
      <c r="DV31" s="6" t="e">
        <f ca="1">_xlfn.RRI(DV$2,$H31,CP31+$DO31*$DT$2+SUM($DP31:DQ31))</f>
        <v>#VALUE!</v>
      </c>
      <c r="DW31" s="6" t="e">
        <f ca="1">_xlfn.RRI(DW$2,$H31,CQ31+$DO31*$DT$2+SUM($DP31:DR31))</f>
        <v>#VALUE!</v>
      </c>
      <c r="DX31" s="171" t="e">
        <f ca="1">SUM(CN31,$DO31:DO31)/$H31</f>
        <v>#VALUE!</v>
      </c>
      <c r="DY31" s="132" t="e">
        <f ca="1">SUM(CO31,$DO31:DP31)/$H31</f>
        <v>#VALUE!</v>
      </c>
      <c r="DZ31" s="132" t="e">
        <f ca="1">SUM(CP31,$DO31:DQ31)/$H31</f>
        <v>#VALUE!</v>
      </c>
      <c r="EA31" s="132" t="e">
        <f ca="1">SUM(CQ31,$DO31:DR31)/$H31</f>
        <v>#VALUE!</v>
      </c>
      <c r="EB31" s="78" cm="1">
        <f t="array" ref="EB31">_xll.BDP(""&amp;$B31&amp;"","CHG_PCT_1M")/100</f>
        <v>9.8998599999999999E-3</v>
      </c>
      <c r="EC31" s="6" cm="1">
        <f t="array" ref="EC31">_xll.BDP(""&amp;$B31&amp;"","CHG_PCT_3M")/100</f>
        <v>-9.1484839999999998E-2</v>
      </c>
      <c r="ED31" s="194" cm="1">
        <f t="array" ref="ED31">_xll.BDP(""&amp;$B31&amp;"","CHG_PCT_6M")/100</f>
        <v>-0.29249030000000004</v>
      </c>
      <c r="EE31" s="363">
        <f ca="1">_xlfn.RRI(2+$DT$2,$DT$2*S31+(1-$DT$2)*T31,V31)</f>
        <v>6.8861305291378683E-2</v>
      </c>
      <c r="EF31" s="175">
        <f ca="1">EG31-EE31</f>
        <v>3.4633752944172702E-2</v>
      </c>
      <c r="EG31" s="363">
        <f ca="1">_xlfn.RRI(2+$DT$2,$DT$2*(BC31*DC31)+(1-$DT$2)*(BD31*DD31),(BF31*DF31))</f>
        <v>0.10349505823555138</v>
      </c>
      <c r="EH31" s="6">
        <f ca="1">EI31-EG31</f>
        <v>2.9762228876976549E-2</v>
      </c>
      <c r="EI31" s="363">
        <f ca="1">ER31+EQ31</f>
        <v>0.13325728711252793</v>
      </c>
      <c r="EJ31" s="6" t="e">
        <f ca="1">EK31-EI31</f>
        <v>#VALUE!</v>
      </c>
      <c r="EK31" s="194" t="e">
        <f ca="1">DV31</f>
        <v>#VALUE!</v>
      </c>
      <c r="EL31" s="6"/>
      <c r="EM31" s="194"/>
      <c r="EN31" s="163" cm="1">
        <f t="array" ref="EN31">_xll.BDP(B31,"AVG_DAILY_VALUE_TRADED_3M")/10^6</f>
        <v>2599.900416</v>
      </c>
      <c r="EQ31" s="361">
        <f t="shared" ca="1" si="125"/>
        <v>0</v>
      </c>
      <c r="ER31" s="361">
        <f t="shared" ca="1" si="126"/>
        <v>0.13325728711252793</v>
      </c>
      <c r="ES31" s="127">
        <f ca="1">ER31-EG31+EQ31</f>
        <v>2.9762228876976549E-2</v>
      </c>
      <c r="EX31" s="353" cm="1">
        <f t="array" ref="EX31">_xll.BQL("CRM US Equity", "IS_COMP_EPS_EXCL_STOCK_COMP", "FPT=A", "FPr="&amp;EX$5+1&amp;"", "ACT_EST_MAPPING=PRECISE", "FS=MRC", "CURRENCY=USD", "XLFILL=b")</f>
        <v>14.105675675675675</v>
      </c>
      <c r="EY31" s="353" cm="1">
        <f t="array" ref="EY31">_xll.BQL("CRM US Equity", "IS_COMP_EPS_EXCL_STOCK_COMP", "FPT=A", "FPr="&amp;EY$5+1&amp;"", "ACT_EST_MAPPING=PRECISE", "FS=MRC", "CURRENCY=USD", "XLFILL=b")</f>
        <v>15.586304347826088</v>
      </c>
      <c r="EZ31" s="353" cm="1">
        <f t="array" ref="EZ31">_xll.BQL("CRM US Equity", "IS_COMP_EPS_EXCL_STOCK_COMP", "FPT=A", "FPr="&amp;EZ$5+1&amp;"", "ACT_EST_MAPPING=PRECISE", "FS=MRC", "CURRENCY=USD", "XLFILL=b")</f>
        <v>18.108823529411765</v>
      </c>
      <c r="FA31" s="353" cm="1">
        <f t="array" ref="FA31">_xll.BQL("CRM US Equity", "IS_COMP_EPS_EXCL_STOCK_COMP", "FPT=A", "FPr="&amp;FA$5+1&amp;"", "ACT_EST_MAPPING=PRECISE", "FS=MRC", "CURRENCY=USD", "XLFILL=b")</f>
        <v>21.228333333333335</v>
      </c>
      <c r="FB31" s="351">
        <f>AT31/EX31-1</f>
        <v>-6.7560386967772557E-2</v>
      </c>
      <c r="FC31" s="351">
        <f>AU31/EY31-1</f>
        <v>-3.8014910341929942E-2</v>
      </c>
      <c r="FD31" s="351">
        <f>AV31/EZ31-1</f>
        <v>-6.8235631213833026E-2</v>
      </c>
      <c r="FE31" s="351">
        <f>AW31/FA31-1</f>
        <v>-0.11545448204425091</v>
      </c>
      <c r="FF31" s="296">
        <v>0.15</v>
      </c>
      <c r="FG31" s="296">
        <v>-0.2</v>
      </c>
      <c r="FH31" s="295">
        <f t="shared" si="127"/>
        <v>0.35</v>
      </c>
      <c r="FI31" s="298">
        <f t="shared" si="128"/>
        <v>0.19999999999999996</v>
      </c>
      <c r="FJ31" s="298">
        <f t="shared" si="129"/>
        <v>-0.19999999999999996</v>
      </c>
      <c r="FK31" s="295">
        <f t="shared" si="130"/>
        <v>0.39999999999999991</v>
      </c>
      <c r="FL31" s="15">
        <f t="shared" si="131"/>
        <v>-5.0000000000000017E-2</v>
      </c>
      <c r="FM31" s="15">
        <f t="shared" si="132"/>
        <v>0</v>
      </c>
      <c r="FN31" s="15" t="e">
        <f t="shared" ca="1" si="133"/>
        <v>#VALUE!</v>
      </c>
      <c r="FO31" s="15" t="e">
        <f t="shared" ca="1" si="134"/>
        <v>#VALUE!</v>
      </c>
      <c r="FP31" s="300" t="e">
        <f t="shared" ca="1" si="135"/>
        <v>#VALUE!</v>
      </c>
      <c r="FQ31" s="15" t="e">
        <f t="shared" ca="1" si="136"/>
        <v>#VALUE!</v>
      </c>
      <c r="FR31" s="300" t="e">
        <f t="shared" ca="1" si="137"/>
        <v>#VALUE!</v>
      </c>
      <c r="FS31" s="15" t="e">
        <f t="shared" ca="1" si="138"/>
        <v>#VALUE!</v>
      </c>
      <c r="FT31" s="294">
        <v>24</v>
      </c>
      <c r="FU31" s="294">
        <v>16</v>
      </c>
    </row>
    <row r="32" spans="2:178" outlineLevel="1" x14ac:dyDescent="0.25">
      <c r="B32" s="9" t="s">
        <v>49</v>
      </c>
      <c r="C32" s="9"/>
      <c r="D32" s="38" t="s">
        <v>26</v>
      </c>
      <c r="E32" s="392"/>
      <c r="F32" s="413">
        <v>46138</v>
      </c>
      <c r="G32" s="394"/>
      <c r="H32" s="411" t="str" cm="1">
        <f t="array" aca="1" ref="H32" ca="1">_xll.BQL($B32, "px_last", "dates=" &amp; _xll.BQL.DATE($D$2))</f>
        <v>#N/A Connection</v>
      </c>
      <c r="I32" s="39" cm="1">
        <f t="array" ref="I32">_xll.BQL(""&amp;B32&amp;"", "CB_IS_ADJ_DILUTED_AVG_SHS/1M", "FPT=Q", "FPO=0Q", "ACT_EST_MAPPING=PRECISE", "FS=MRC", "CURRENCY=USD", "XLFILL=b")</f>
        <v>118.553</v>
      </c>
      <c r="J32" s="25">
        <v>-184</v>
      </c>
      <c r="K32" s="2">
        <v>1197</v>
      </c>
      <c r="L32" s="2"/>
      <c r="M32" s="23">
        <f t="shared" si="121"/>
        <v>1013</v>
      </c>
      <c r="N32" s="23" t="e">
        <f t="shared" ca="1" si="122"/>
        <v>#VALUE!</v>
      </c>
      <c r="O32" s="396">
        <v>1861.1390759099791</v>
      </c>
      <c r="P32" s="396">
        <v>2236.1145301907227</v>
      </c>
      <c r="Q32" s="396">
        <v>2491.0170915262347</v>
      </c>
      <c r="R32" s="396">
        <v>2655.7864481056044</v>
      </c>
      <c r="S32" s="396">
        <v>2827.0571618315344</v>
      </c>
      <c r="T32" s="396">
        <v>3052.9133410166614</v>
      </c>
      <c r="U32" s="396">
        <v>3290.7753815638443</v>
      </c>
      <c r="V32" s="396">
        <v>3528.671449142962</v>
      </c>
      <c r="W32" s="396">
        <v>3772.9894518373644</v>
      </c>
      <c r="X32" s="4">
        <f t="shared" si="147"/>
        <v>0.81859120343549729</v>
      </c>
      <c r="Y32" s="4">
        <f t="shared" si="147"/>
        <v>0.82807767902335006</v>
      </c>
      <c r="Z32" s="4">
        <f t="shared" si="147"/>
        <v>0.84503207492507315</v>
      </c>
      <c r="AA32" s="4">
        <f t="shared" si="147"/>
        <v>0.85350513085115742</v>
      </c>
      <c r="AB32" s="4">
        <f t="shared" si="147"/>
        <v>0.86080425998213328</v>
      </c>
      <c r="AC32" s="4">
        <f t="shared" si="147"/>
        <v>0.86355093165376307</v>
      </c>
      <c r="AD32" s="4">
        <f t="shared" si="147"/>
        <v>0.86611888108424273</v>
      </c>
      <c r="AE32" s="4">
        <f t="shared" si="147"/>
        <v>0.8684173145299936</v>
      </c>
      <c r="AF32" s="4">
        <f t="shared" si="147"/>
        <v>0.8705428562440235</v>
      </c>
      <c r="AG32" s="396">
        <v>1523.5120759099791</v>
      </c>
      <c r="AH32" s="396">
        <v>1851.6765301907226</v>
      </c>
      <c r="AI32" s="396">
        <v>2104.989341526235</v>
      </c>
      <c r="AJ32" s="396">
        <v>2266.7273599031046</v>
      </c>
      <c r="AK32" s="396">
        <v>2433.5428481175841</v>
      </c>
      <c r="AL32" s="396">
        <v>2636.3461598931403</v>
      </c>
      <c r="AM32" s="396">
        <v>2850.202691379649</v>
      </c>
      <c r="AN32" s="396">
        <v>3064.3593837233921</v>
      </c>
      <c r="AO32" s="396">
        <v>3284.5490139810718</v>
      </c>
      <c r="AP32" s="399"/>
      <c r="AQ32" s="399"/>
      <c r="AR32" s="399">
        <v>6.1778348845858249</v>
      </c>
      <c r="AS32" s="399">
        <v>7.3437059090604144</v>
      </c>
      <c r="AT32" s="399">
        <v>8.3307983935892373</v>
      </c>
      <c r="AU32" s="399">
        <v>9.6036501762115165</v>
      </c>
      <c r="AV32" s="399">
        <v>11.021448648764641</v>
      </c>
      <c r="AW32" s="399">
        <v>12.541703318992019</v>
      </c>
      <c r="AX32" s="399">
        <v>14.19794255871145</v>
      </c>
      <c r="AY32" s="399"/>
      <c r="AZ32" s="399"/>
      <c r="BA32" s="399">
        <v>4.7460841893077443</v>
      </c>
      <c r="BB32" s="412">
        <v>5.8959028703221747</v>
      </c>
      <c r="BC32" s="412">
        <v>6.7020629381102932</v>
      </c>
      <c r="BD32" s="412">
        <v>7.8675807525291557</v>
      </c>
      <c r="BE32" s="412">
        <v>9.1719798016971446</v>
      </c>
      <c r="BF32" s="412">
        <v>10.5749440645564</v>
      </c>
      <c r="BG32" s="412">
        <v>12.108709700491689</v>
      </c>
      <c r="BH32" s="400" t="e">
        <f t="shared" ref="BH32:BN32" ca="1" si="148">$N32/Q32</f>
        <v>#VALUE!</v>
      </c>
      <c r="BI32" s="400" t="e">
        <f t="shared" ca="1" si="148"/>
        <v>#VALUE!</v>
      </c>
      <c r="BJ32" s="400" t="e">
        <f t="shared" ca="1" si="148"/>
        <v>#VALUE!</v>
      </c>
      <c r="BK32" s="400" t="e">
        <f t="shared" ca="1" si="148"/>
        <v>#VALUE!</v>
      </c>
      <c r="BL32" s="400" t="e">
        <f t="shared" ca="1" si="148"/>
        <v>#VALUE!</v>
      </c>
      <c r="BM32" s="400" t="e">
        <f t="shared" ca="1" si="148"/>
        <v>#VALUE!</v>
      </c>
      <c r="BN32" s="400" t="e">
        <f t="shared" ca="1" si="148"/>
        <v>#VALUE!</v>
      </c>
      <c r="BO32" s="400" t="e">
        <f t="shared" ca="1" si="142"/>
        <v>#VALUE!</v>
      </c>
      <c r="BP32" s="400" t="e">
        <f t="shared" ca="1" si="142"/>
        <v>#VALUE!</v>
      </c>
      <c r="BQ32" s="400" t="e">
        <f t="shared" ca="1" si="142"/>
        <v>#VALUE!</v>
      </c>
      <c r="BR32" s="400" t="e">
        <f t="shared" ca="1" si="142"/>
        <v>#VALUE!</v>
      </c>
      <c r="BS32" s="400" t="e">
        <f t="shared" ca="1" si="142"/>
        <v>#VALUE!</v>
      </c>
      <c r="BT32" s="400" t="e">
        <f t="shared" ca="1" si="143"/>
        <v>#VALUE!</v>
      </c>
      <c r="BU32" s="400" t="e">
        <f t="shared" ca="1" si="143"/>
        <v>#VALUE!</v>
      </c>
      <c r="BV32" s="400" t="e">
        <f t="shared" ca="1" si="143"/>
        <v>#VALUE!</v>
      </c>
      <c r="BW32" s="400" t="e">
        <f t="shared" ca="1" si="143"/>
        <v>#VALUE!</v>
      </c>
      <c r="BX32" s="400" t="e">
        <f t="shared" ca="1" si="143"/>
        <v>#VALUE!</v>
      </c>
      <c r="BY32" s="8" t="e">
        <f t="shared" ca="1" si="144"/>
        <v>#VALUE!</v>
      </c>
      <c r="BZ32" s="400" t="e">
        <f t="shared" ca="1" si="144"/>
        <v>#VALUE!</v>
      </c>
      <c r="CA32" s="400" t="e">
        <f t="shared" ca="1" si="144"/>
        <v>#VALUE!</v>
      </c>
      <c r="CB32" s="400" t="e">
        <f t="shared" ca="1" si="144"/>
        <v>#VALUE!</v>
      </c>
      <c r="CC32" s="400" t="e">
        <f t="shared" ca="1" si="144"/>
        <v>#VALUE!</v>
      </c>
      <c r="CD32" s="12">
        <v>22</v>
      </c>
      <c r="CE32" s="167">
        <v>22</v>
      </c>
      <c r="CF32" s="12">
        <v>22</v>
      </c>
      <c r="CG32" s="12">
        <v>22</v>
      </c>
      <c r="CH32" s="12">
        <v>27</v>
      </c>
      <c r="CI32" s="46">
        <v>212.87635928934341</v>
      </c>
      <c r="CJ32" s="46">
        <v>248.99809651232238</v>
      </c>
      <c r="CK32" s="46">
        <v>289.89951222637353</v>
      </c>
      <c r="CL32" s="46">
        <v>335.02950344942121</v>
      </c>
      <c r="CM32" s="46">
        <v>384.35625684614109</v>
      </c>
      <c r="CN32" s="43">
        <f t="shared" si="146"/>
        <v>173.08677655564142</v>
      </c>
      <c r="CO32" s="43">
        <f t="shared" si="146"/>
        <v>201.78355563733717</v>
      </c>
      <c r="CP32" s="43">
        <f t="shared" si="146"/>
        <v>232.6487694202408</v>
      </c>
      <c r="CQ32" s="43">
        <f t="shared" si="146"/>
        <v>266.39161341081717</v>
      </c>
      <c r="CR32" s="7"/>
      <c r="CS32" s="7"/>
      <c r="CT32" s="7"/>
      <c r="CU32" s="7"/>
      <c r="CV32" s="7"/>
      <c r="CW32" s="7"/>
      <c r="CX32" s="19"/>
      <c r="CY32" s="19"/>
      <c r="CZ32" s="19"/>
      <c r="DA32" s="19"/>
      <c r="DB32" s="19"/>
      <c r="DC32" s="40">
        <v>119.26325507375057</v>
      </c>
      <c r="DD32" s="40">
        <v>115.58226575201832</v>
      </c>
      <c r="DE32" s="40">
        <v>111.99245174477619</v>
      </c>
      <c r="DF32" s="40">
        <v>108.44729147534846</v>
      </c>
      <c r="DG32" s="40">
        <v>104.98720138942893</v>
      </c>
      <c r="DH32" s="40"/>
      <c r="DI32" s="40"/>
      <c r="DJ32" s="40"/>
      <c r="DK32" s="40"/>
      <c r="DL32" s="40"/>
      <c r="DM32" s="7"/>
      <c r="DN32" s="7"/>
      <c r="DO32" s="7"/>
      <c r="DP32" s="7"/>
      <c r="DQ32" s="7"/>
      <c r="DR32" s="7"/>
      <c r="DS32" s="7"/>
      <c r="DT32" s="78" t="e">
        <f t="shared" ca="1" si="124"/>
        <v>#VALUE!</v>
      </c>
      <c r="DU32" s="78" t="e">
        <f ca="1">_xlfn.RRI(DU$2,$H32,CO32+$DO32*$DT$2+SUM($DP32:DP32))</f>
        <v>#VALUE!</v>
      </c>
      <c r="DV32" s="6" t="e">
        <f ca="1">_xlfn.RRI(DV$2,$H32,CP32+$DO32*$DT$2+SUM($DP32:DQ32))</f>
        <v>#VALUE!</v>
      </c>
      <c r="DW32" s="6" t="e">
        <f ca="1">_xlfn.RRI(DW$2,$H32,CQ32+$DO32*$DT$2+SUM($DP32:DR32))</f>
        <v>#VALUE!</v>
      </c>
      <c r="DX32" s="171" t="e">
        <f ca="1">SUM(CN32,$DO32:DO32)/$H32</f>
        <v>#VALUE!</v>
      </c>
      <c r="DY32" s="132" t="e">
        <f ca="1">SUM(CO32,$DO32:DP32)/$H32</f>
        <v>#VALUE!</v>
      </c>
      <c r="DZ32" s="132" t="e">
        <f ca="1">SUM(CP32,$DO32:DQ32)/$H32</f>
        <v>#VALUE!</v>
      </c>
      <c r="EA32" s="132" t="e">
        <f ca="1">SUM(CQ32,$DO32:DR32)/$H32</f>
        <v>#VALUE!</v>
      </c>
      <c r="EB32" s="78" cm="1">
        <f t="array" ref="EB32">_xll.BDP(""&amp;$B32&amp;"","CHG_PCT_1M")/100</f>
        <v>-5.9120319999999997E-2</v>
      </c>
      <c r="EC32" s="6" cm="1">
        <f t="array" ref="EC32">_xll.BDP(""&amp;$B32&amp;"","CHG_PCT_3M")/100</f>
        <v>-0.15198819999999999</v>
      </c>
      <c r="ED32" s="194" cm="1">
        <f t="array" ref="ED32">_xll.BDP(""&amp;$B32&amp;"","CHG_PCT_6M")/100</f>
        <v>-0.2088757</v>
      </c>
      <c r="EE32" s="363">
        <f ca="1">_xlfn.RRI(2+$DT$2,$DT$2*S32+(1-$DT$2)*T32,V32)</f>
        <v>7.5836601168894457E-2</v>
      </c>
      <c r="EF32" s="175">
        <f ca="1">EG32-EE32</f>
        <v>4.9450629321427186E-2</v>
      </c>
      <c r="EG32" s="363">
        <f ca="1">_xlfn.RRI(2+$DT$2,$DT$2*(BC32*DC32)+(1-$DT$2)*(BD32*DD32),(BF32*DF32))</f>
        <v>0.12528723049032164</v>
      </c>
      <c r="EH32" s="6">
        <f ca="1">EI32-EG32</f>
        <v>3.5787997524507453E-2</v>
      </c>
      <c r="EI32" s="363">
        <f ca="1">ER32+EQ32</f>
        <v>0.1610752280148291</v>
      </c>
      <c r="EJ32" s="6" t="e">
        <f ca="1">EK32-EI32</f>
        <v>#VALUE!</v>
      </c>
      <c r="EK32" s="194" t="e">
        <f ca="1">DV32</f>
        <v>#VALUE!</v>
      </c>
      <c r="EL32" s="6"/>
      <c r="EM32" s="194"/>
      <c r="EN32" s="163" cm="1">
        <f t="array" ref="EN32">_xll.BDP(B32,"AVG_DAILY_VALUE_TRADED_3M")/10^6</f>
        <v>187.60654400000001</v>
      </c>
      <c r="EQ32" s="361">
        <f t="shared" ca="1" si="125"/>
        <v>0</v>
      </c>
      <c r="ER32" s="361">
        <f t="shared" ca="1" si="126"/>
        <v>0.1610752280148291</v>
      </c>
      <c r="ES32" s="127">
        <f ca="1">ER32-EG32+EQ32</f>
        <v>3.5787997524507453E-2</v>
      </c>
      <c r="EX32" s="352"/>
      <c r="EY32" s="352"/>
      <c r="EZ32" s="352"/>
      <c r="FA32" s="352"/>
      <c r="FB32" s="351"/>
      <c r="FC32" s="351"/>
      <c r="FD32" s="351"/>
      <c r="FE32" s="351"/>
      <c r="FF32" s="296">
        <v>0.15</v>
      </c>
      <c r="FG32" s="296">
        <v>-0.15</v>
      </c>
      <c r="FH32" s="295">
        <f t="shared" si="127"/>
        <v>0.3</v>
      </c>
      <c r="FI32" s="298">
        <f t="shared" si="128"/>
        <v>0.27272727272727271</v>
      </c>
      <c r="FJ32" s="298">
        <f t="shared" si="129"/>
        <v>-0.27272727272727271</v>
      </c>
      <c r="FK32" s="295">
        <f t="shared" si="130"/>
        <v>0.54545454545454541</v>
      </c>
      <c r="FL32" s="15">
        <f t="shared" si="131"/>
        <v>0</v>
      </c>
      <c r="FM32" s="15">
        <f t="shared" si="132"/>
        <v>0</v>
      </c>
      <c r="FN32" s="15" t="e">
        <f t="shared" ca="1" si="133"/>
        <v>#VALUE!</v>
      </c>
      <c r="FO32" s="15" t="e">
        <f t="shared" ca="1" si="134"/>
        <v>#VALUE!</v>
      </c>
      <c r="FP32" s="300" t="e">
        <f t="shared" ca="1" si="135"/>
        <v>#VALUE!</v>
      </c>
      <c r="FQ32" s="15" t="e">
        <f t="shared" ca="1" si="136"/>
        <v>#VALUE!</v>
      </c>
      <c r="FR32" s="300" t="e">
        <f t="shared" ca="1" si="137"/>
        <v>#VALUE!</v>
      </c>
      <c r="FS32" s="15" t="e">
        <f t="shared" ca="1" si="138"/>
        <v>#VALUE!</v>
      </c>
      <c r="FT32" s="294">
        <v>28</v>
      </c>
      <c r="FU32" s="294">
        <v>16</v>
      </c>
    </row>
    <row r="33" spans="2:177" x14ac:dyDescent="0.25">
      <c r="B33" s="10"/>
      <c r="C33" s="10"/>
      <c r="D33" s="38"/>
      <c r="E33" s="392"/>
      <c r="F33" s="413"/>
      <c r="G33" s="394"/>
      <c r="H33" s="411"/>
      <c r="I33" s="39"/>
      <c r="J33" s="25"/>
      <c r="K33" s="2"/>
      <c r="L33" s="2"/>
      <c r="M33" s="76"/>
      <c r="N33" s="76"/>
      <c r="O33" s="396"/>
      <c r="P33" s="396"/>
      <c r="Q33" s="396"/>
      <c r="R33" s="396"/>
      <c r="S33" s="396"/>
      <c r="T33" s="396"/>
      <c r="U33" s="396"/>
      <c r="V33" s="396"/>
      <c r="W33" s="396"/>
      <c r="X33" s="4"/>
      <c r="Y33" s="4"/>
      <c r="Z33" s="4"/>
      <c r="AA33" s="4"/>
      <c r="AB33" s="4"/>
      <c r="AC33" s="4"/>
      <c r="AD33" s="4"/>
      <c r="AE33" s="4"/>
      <c r="AF33" s="4"/>
      <c r="AG33" s="397"/>
      <c r="AH33" s="397"/>
      <c r="AI33" s="397"/>
      <c r="AJ33" s="397"/>
      <c r="AK33" s="397"/>
      <c r="AL33" s="397"/>
      <c r="AM33" s="397"/>
      <c r="AN33" s="397"/>
      <c r="AO33" s="397"/>
      <c r="AP33" s="398"/>
      <c r="AQ33" s="398"/>
      <c r="AR33" s="398"/>
      <c r="AS33" s="398"/>
      <c r="AT33" s="398"/>
      <c r="AU33" s="398"/>
      <c r="AV33" s="398"/>
      <c r="AW33" s="399"/>
      <c r="AX33" s="399"/>
      <c r="AY33" s="398"/>
      <c r="AZ33" s="398"/>
      <c r="BA33" s="398"/>
      <c r="BB33" s="398"/>
      <c r="BC33" s="398"/>
      <c r="BD33" s="398"/>
      <c r="BE33" s="398"/>
      <c r="BF33" s="399"/>
      <c r="BG33" s="399"/>
      <c r="BH33" s="400"/>
      <c r="BI33" s="400"/>
      <c r="BJ33" s="400"/>
      <c r="BK33" s="400"/>
      <c r="BL33" s="400"/>
      <c r="BM33" s="400"/>
      <c r="BN33" s="400"/>
      <c r="BO33" s="400"/>
      <c r="BP33" s="400"/>
      <c r="BQ33" s="400"/>
      <c r="BR33" s="400"/>
      <c r="BS33" s="400"/>
      <c r="BT33" s="400"/>
      <c r="BU33" s="400"/>
      <c r="BV33" s="400"/>
      <c r="BW33" s="400"/>
      <c r="BX33" s="400"/>
      <c r="BY33" s="8"/>
      <c r="BZ33" s="400"/>
      <c r="CA33" s="400"/>
      <c r="CB33" s="400"/>
      <c r="CC33" s="400"/>
      <c r="CD33" s="12"/>
      <c r="CE33" s="167"/>
      <c r="CF33" s="12"/>
      <c r="CG33" s="12"/>
      <c r="CH33" s="12"/>
      <c r="CI33" s="46"/>
      <c r="CJ33" s="46"/>
      <c r="CK33" s="46"/>
      <c r="CL33" s="46"/>
      <c r="CM33" s="46"/>
      <c r="CN33" s="43"/>
      <c r="CO33" s="43"/>
      <c r="CP33" s="43"/>
      <c r="CQ33" s="43"/>
      <c r="CR33" s="7"/>
      <c r="CS33" s="7"/>
      <c r="CT33" s="7"/>
      <c r="CU33" s="7"/>
      <c r="CV33" s="7"/>
      <c r="CW33" s="7"/>
      <c r="CX33" s="101"/>
      <c r="CY33" s="101"/>
      <c r="CZ33" s="101"/>
      <c r="DA33" s="101"/>
      <c r="DB33" s="101"/>
      <c r="DC33" s="40"/>
      <c r="DD33" s="40"/>
      <c r="DE33" s="40"/>
      <c r="DF33" s="40"/>
      <c r="DG33" s="40"/>
      <c r="DH33" s="40"/>
      <c r="DI33" s="40"/>
      <c r="DJ33" s="40"/>
      <c r="DK33" s="40"/>
      <c r="DL33" s="40"/>
      <c r="DM33" s="7"/>
      <c r="DN33" s="7"/>
      <c r="DO33" s="7"/>
      <c r="DP33" s="7"/>
      <c r="DQ33" s="7"/>
      <c r="DR33" s="7"/>
      <c r="DS33" s="7"/>
      <c r="DT33" s="78"/>
      <c r="DU33" s="78"/>
      <c r="DV33" s="6"/>
      <c r="DW33" s="6"/>
      <c r="DX33" s="171"/>
      <c r="DY33" s="132"/>
      <c r="DZ33" s="132"/>
      <c r="EA33" s="132"/>
      <c r="EB33" s="78"/>
      <c r="EC33" s="6"/>
      <c r="ED33" s="194"/>
      <c r="EE33" s="363"/>
      <c r="EF33" s="6"/>
      <c r="EG33" s="363"/>
      <c r="EH33" s="6"/>
      <c r="EI33" s="363"/>
      <c r="EJ33" s="6"/>
      <c r="EK33" s="194"/>
      <c r="EL33" s="6"/>
      <c r="EM33" s="194"/>
      <c r="EN33" s="163"/>
      <c r="EX33" s="354"/>
      <c r="EY33" s="354"/>
      <c r="EZ33" s="354"/>
      <c r="FA33" s="354"/>
      <c r="FB33" s="292"/>
      <c r="FC33" s="292"/>
      <c r="FD33" s="292"/>
      <c r="FE33" s="292"/>
      <c r="FF33" s="297"/>
      <c r="FG33" s="296"/>
      <c r="FI33" s="299"/>
      <c r="FJ33" s="298"/>
      <c r="FK33" s="295"/>
      <c r="FN33" s="15"/>
      <c r="FO33" s="15"/>
      <c r="FP33" s="300"/>
      <c r="FQ33" s="300"/>
      <c r="FR33" s="300"/>
      <c r="FS33" s="15"/>
    </row>
    <row r="34" spans="2:177" ht="15.75" x14ac:dyDescent="0.25">
      <c r="B34" s="10"/>
      <c r="C34" s="10"/>
      <c r="D34" s="161" t="s">
        <v>155</v>
      </c>
      <c r="E34" s="289"/>
      <c r="F34" s="436"/>
      <c r="G34" s="437"/>
      <c r="H34" s="438"/>
      <c r="I34" s="64"/>
      <c r="J34" s="64"/>
      <c r="K34" s="86"/>
      <c r="L34" s="437"/>
      <c r="M34" s="72"/>
      <c r="N34" s="153"/>
      <c r="O34" s="439"/>
      <c r="P34" s="439"/>
      <c r="Q34" s="439"/>
      <c r="R34" s="439"/>
      <c r="S34" s="439"/>
      <c r="T34" s="439"/>
      <c r="U34" s="439"/>
      <c r="V34" s="439"/>
      <c r="W34" s="439"/>
      <c r="X34" s="65"/>
      <c r="Y34" s="65"/>
      <c r="Z34" s="65"/>
      <c r="AA34" s="65"/>
      <c r="AB34" s="65"/>
      <c r="AC34" s="65"/>
      <c r="AD34" s="65"/>
      <c r="AE34" s="65"/>
      <c r="AF34" s="65"/>
      <c r="AG34" s="440"/>
      <c r="AH34" s="440"/>
      <c r="AI34" s="440"/>
      <c r="AJ34" s="440"/>
      <c r="AK34" s="440"/>
      <c r="AL34" s="440"/>
      <c r="AM34" s="440"/>
      <c r="AN34" s="440"/>
      <c r="AO34" s="440"/>
      <c r="AP34" s="441"/>
      <c r="AQ34" s="441"/>
      <c r="AR34" s="441"/>
      <c r="AS34" s="441"/>
      <c r="AT34" s="441"/>
      <c r="AU34" s="441"/>
      <c r="AV34" s="441"/>
      <c r="AW34" s="441"/>
      <c r="AX34" s="441"/>
      <c r="AY34" s="442"/>
      <c r="AZ34" s="442"/>
      <c r="BA34" s="442"/>
      <c r="BB34" s="442"/>
      <c r="BC34" s="442"/>
      <c r="BD34" s="442"/>
      <c r="BE34" s="442"/>
      <c r="BF34" s="442"/>
      <c r="BG34" s="442"/>
      <c r="BH34" s="443"/>
      <c r="BI34" s="443"/>
      <c r="BJ34" s="443"/>
      <c r="BK34" s="443"/>
      <c r="BL34" s="443"/>
      <c r="BM34" s="443"/>
      <c r="BN34" s="443"/>
      <c r="BO34" s="443"/>
      <c r="BP34" s="443"/>
      <c r="BQ34" s="443"/>
      <c r="BR34" s="443"/>
      <c r="BS34" s="443"/>
      <c r="BT34" s="443"/>
      <c r="BU34" s="443"/>
      <c r="BV34" s="443"/>
      <c r="BW34" s="443"/>
      <c r="BX34" s="443"/>
      <c r="BY34" s="66"/>
      <c r="BZ34" s="443"/>
      <c r="CA34" s="443"/>
      <c r="CB34" s="443"/>
      <c r="CC34" s="443"/>
      <c r="CD34" s="67"/>
      <c r="CE34" s="169"/>
      <c r="CF34" s="67"/>
      <c r="CG34" s="67"/>
      <c r="CH34" s="67"/>
      <c r="CI34" s="68"/>
      <c r="CJ34" s="68"/>
      <c r="CK34" s="68"/>
      <c r="CL34" s="68"/>
      <c r="CM34" s="68"/>
      <c r="CN34" s="73"/>
      <c r="CO34" s="73"/>
      <c r="CP34" s="73"/>
      <c r="CQ34" s="73"/>
      <c r="CR34" s="69"/>
      <c r="CS34" s="69"/>
      <c r="CT34" s="69"/>
      <c r="CU34" s="69"/>
      <c r="CV34" s="69"/>
      <c r="CW34" s="69"/>
      <c r="CX34" s="74"/>
      <c r="CY34" s="74"/>
      <c r="CZ34" s="74"/>
      <c r="DA34" s="74"/>
      <c r="DB34" s="74"/>
      <c r="DC34" s="70"/>
      <c r="DD34" s="70"/>
      <c r="DE34" s="70"/>
      <c r="DF34" s="70"/>
      <c r="DG34" s="70"/>
      <c r="DH34" s="70"/>
      <c r="DI34" s="70"/>
      <c r="DJ34" s="70"/>
      <c r="DK34" s="70"/>
      <c r="DL34" s="70"/>
      <c r="DM34" s="69"/>
      <c r="DN34" s="69"/>
      <c r="DO34" s="69"/>
      <c r="DP34" s="69"/>
      <c r="DQ34" s="69"/>
      <c r="DR34" s="69"/>
      <c r="DS34" s="69"/>
      <c r="DT34" s="77"/>
      <c r="DU34" s="77"/>
      <c r="DV34" s="71"/>
      <c r="DW34" s="71"/>
      <c r="DX34" s="166"/>
      <c r="DY34" s="392"/>
      <c r="DZ34" s="392"/>
      <c r="EA34" s="392"/>
      <c r="EB34" s="77"/>
      <c r="EC34" s="71"/>
      <c r="ED34" s="195"/>
      <c r="EE34" s="363"/>
      <c r="EF34" s="71"/>
      <c r="EG34" s="363"/>
      <c r="EH34" s="71"/>
      <c r="EI34" s="363"/>
      <c r="EJ34" s="71"/>
      <c r="EK34" s="195"/>
      <c r="EL34" s="71"/>
      <c r="EM34" s="195"/>
      <c r="EN34" s="163"/>
      <c r="EX34" s="292"/>
      <c r="EY34" s="292"/>
      <c r="EZ34" s="292"/>
      <c r="FA34" s="292"/>
      <c r="FB34" s="292"/>
      <c r="FC34" s="292"/>
      <c r="FD34" s="292"/>
      <c r="FE34" s="292"/>
      <c r="FF34" s="297"/>
      <c r="FG34" s="296"/>
      <c r="FI34" s="299"/>
      <c r="FJ34" s="298"/>
      <c r="FK34" s="295"/>
      <c r="FN34" s="15"/>
      <c r="FO34" s="15"/>
      <c r="FP34" s="300"/>
      <c r="FQ34" s="300"/>
      <c r="FR34" s="300"/>
      <c r="FS34" s="15"/>
    </row>
    <row r="35" spans="2:177" x14ac:dyDescent="0.25">
      <c r="B35" s="10" t="s">
        <v>170</v>
      </c>
      <c r="C35" s="10"/>
      <c r="D35" s="38" t="s">
        <v>157</v>
      </c>
      <c r="E35" s="392"/>
      <c r="F35" s="393">
        <v>46178</v>
      </c>
      <c r="G35" s="394"/>
      <c r="H35" s="411" t="str" cm="1">
        <f t="array" aca="1" ref="H35" ca="1">_xll.BQL($B35, "px_last", "dates=" &amp; _xll.BQL.DATE($D$2))</f>
        <v>#N/A Connection</v>
      </c>
      <c r="I35" s="396">
        <v>566.41787999999997</v>
      </c>
      <c r="J35" s="25">
        <f>250.7*-1</f>
        <v>-250.7</v>
      </c>
      <c r="K35" s="396">
        <v>5366</v>
      </c>
      <c r="L35" s="396"/>
      <c r="M35" s="76">
        <f>K35+J35</f>
        <v>5115.3</v>
      </c>
      <c r="N35" s="76" t="e">
        <f ca="1">I35*H35+M35+L35</f>
        <v>#VALUE!</v>
      </c>
      <c r="O35" s="396">
        <v>8034.25</v>
      </c>
      <c r="P35" s="396">
        <v>7835.4749999999995</v>
      </c>
      <c r="Q35" s="396">
        <v>5209.7999999999993</v>
      </c>
      <c r="R35" s="396">
        <v>4599.8999999999996</v>
      </c>
      <c r="S35" s="396">
        <v>6199.0236809232629</v>
      </c>
      <c r="T35" s="396">
        <v>8312.9434348635114</v>
      </c>
      <c r="U35" s="396">
        <v>9651.2011270758285</v>
      </c>
      <c r="V35" s="396">
        <v>10781.432942122805</v>
      </c>
      <c r="W35" s="396">
        <v>12070.706197646488</v>
      </c>
      <c r="X35" s="21">
        <v>0.67396458910290324</v>
      </c>
      <c r="Y35" s="21">
        <v>0.66370896467667895</v>
      </c>
      <c r="Z35" s="21">
        <v>0.60247034435103086</v>
      </c>
      <c r="AA35" s="21">
        <v>0.5588599752168526</v>
      </c>
      <c r="AB35" s="21">
        <v>0.62195589190683687</v>
      </c>
      <c r="AC35" s="21">
        <v>0.65893347814990566</v>
      </c>
      <c r="AD35" s="21">
        <v>0.66429479475508202</v>
      </c>
      <c r="AE35" s="21">
        <v>0.66427657818359531</v>
      </c>
      <c r="AF35" s="21">
        <v>0.6645676043930554</v>
      </c>
      <c r="AG35" s="417">
        <f t="shared" ref="AG35:AO35" si="149">X35*O35</f>
        <v>5414.8</v>
      </c>
      <c r="AH35" s="417">
        <f t="shared" si="149"/>
        <v>5200.4750000000004</v>
      </c>
      <c r="AI35" s="417">
        <f t="shared" si="149"/>
        <v>3138.75</v>
      </c>
      <c r="AJ35" s="417">
        <f t="shared" si="149"/>
        <v>2570.7000000000003</v>
      </c>
      <c r="AK35" s="417">
        <f t="shared" si="149"/>
        <v>3855.5193024202308</v>
      </c>
      <c r="AL35" s="417">
        <f t="shared" si="149"/>
        <v>5477.6767311980375</v>
      </c>
      <c r="AM35" s="417">
        <f t="shared" si="149"/>
        <v>6411.2426718508541</v>
      </c>
      <c r="AN35" s="417">
        <f t="shared" si="149"/>
        <v>7161.8533827092297</v>
      </c>
      <c r="AO35" s="417">
        <f t="shared" si="149"/>
        <v>8021.8003011023338</v>
      </c>
      <c r="AP35" s="399">
        <v>5.6675000000000004</v>
      </c>
      <c r="AQ35" s="399">
        <v>5.1950000000000003</v>
      </c>
      <c r="AR35" s="399">
        <v>2.2124999999999999</v>
      </c>
      <c r="AS35" s="399">
        <v>1.3390052900575968</v>
      </c>
      <c r="AT35" s="399">
        <v>2.8019298695777728</v>
      </c>
      <c r="AU35" s="399">
        <v>4.7126411583423424</v>
      </c>
      <c r="AV35" s="399">
        <v>6.0345283250386377</v>
      </c>
      <c r="AW35" s="399">
        <v>7.2057669676759097</v>
      </c>
      <c r="AX35" s="399">
        <v>8.6296822953607499</v>
      </c>
      <c r="AY35" s="399">
        <v>5.3437188259083834</v>
      </c>
      <c r="AZ35" s="399">
        <v>4.8767738925685764</v>
      </c>
      <c r="BA35" s="399">
        <v>1.8429759751283432</v>
      </c>
      <c r="BB35" s="399">
        <v>0.96454558193910445</v>
      </c>
      <c r="BC35" s="399">
        <v>2.3672252156608984</v>
      </c>
      <c r="BD35" s="399">
        <v>4.1978888684692182</v>
      </c>
      <c r="BE35" s="399">
        <v>5.4574906287147416</v>
      </c>
      <c r="BF35" s="399">
        <v>6.5688594036420689</v>
      </c>
      <c r="BG35" s="399">
        <v>7.9231450467525164</v>
      </c>
      <c r="BH35" s="400" t="e">
        <f t="shared" ref="BH35:BN37" ca="1" si="150">$N35/Q35</f>
        <v>#VALUE!</v>
      </c>
      <c r="BI35" s="400" t="e">
        <f t="shared" ca="1" si="150"/>
        <v>#VALUE!</v>
      </c>
      <c r="BJ35" s="400" t="e">
        <f t="shared" ca="1" si="150"/>
        <v>#VALUE!</v>
      </c>
      <c r="BK35" s="400" t="e">
        <f t="shared" ca="1" si="150"/>
        <v>#VALUE!</v>
      </c>
      <c r="BL35" s="400" t="e">
        <f t="shared" ca="1" si="150"/>
        <v>#VALUE!</v>
      </c>
      <c r="BM35" s="400" t="e">
        <f t="shared" ca="1" si="150"/>
        <v>#VALUE!</v>
      </c>
      <c r="BN35" s="400" t="e">
        <f t="shared" ca="1" si="150"/>
        <v>#VALUE!</v>
      </c>
      <c r="BO35" s="400" t="e">
        <f t="shared" ref="BO35:BS37" ca="1" si="151">$N35/AK35</f>
        <v>#VALUE!</v>
      </c>
      <c r="BP35" s="400" t="e">
        <f t="shared" ca="1" si="151"/>
        <v>#VALUE!</v>
      </c>
      <c r="BQ35" s="400" t="e">
        <f t="shared" ca="1" si="151"/>
        <v>#VALUE!</v>
      </c>
      <c r="BR35" s="400" t="e">
        <f t="shared" ca="1" si="151"/>
        <v>#VALUE!</v>
      </c>
      <c r="BS35" s="400" t="e">
        <f t="shared" ca="1" si="151"/>
        <v>#VALUE!</v>
      </c>
      <c r="BT35" s="400" t="e">
        <f ca="1">$H35/AT35</f>
        <v>#VALUE!</v>
      </c>
      <c r="BU35" s="400" t="e">
        <f ca="1">$H35/AU35</f>
        <v>#VALUE!</v>
      </c>
      <c r="BV35" s="400" t="e">
        <f ca="1">$H35/AV35</f>
        <v>#VALUE!</v>
      </c>
      <c r="BW35" s="400" t="e">
        <f ca="1">$H35/AW35</f>
        <v>#VALUE!</v>
      </c>
      <c r="BX35" s="400" t="e">
        <f ca="1">$H35/AX35</f>
        <v>#VALUE!</v>
      </c>
      <c r="BY35" s="8" t="e">
        <f t="shared" ref="BY35:CC37" ca="1" si="152">$H35/BC35</f>
        <v>#VALUE!</v>
      </c>
      <c r="BZ35" s="400" t="e">
        <f t="shared" ca="1" si="152"/>
        <v>#VALUE!</v>
      </c>
      <c r="CA35" s="400" t="e">
        <f t="shared" ca="1" si="152"/>
        <v>#VALUE!</v>
      </c>
      <c r="CB35" s="400" t="e">
        <f t="shared" ca="1" si="152"/>
        <v>#VALUE!</v>
      </c>
      <c r="CC35" s="400" t="e">
        <f t="shared" ca="1" si="152"/>
        <v>#VALUE!</v>
      </c>
      <c r="CD35" s="12">
        <v>20</v>
      </c>
      <c r="CE35" s="167">
        <f>CD35</f>
        <v>20</v>
      </c>
      <c r="CF35" s="12">
        <f>CE35</f>
        <v>20</v>
      </c>
      <c r="CG35" s="12">
        <f>CF35</f>
        <v>20</v>
      </c>
      <c r="CH35" s="82">
        <f>CG35</f>
        <v>20</v>
      </c>
      <c r="CI35" s="46"/>
      <c r="CJ35" s="46"/>
      <c r="CK35" s="46"/>
      <c r="CL35" s="46"/>
      <c r="CM35" s="46"/>
      <c r="CN35" s="43">
        <f t="shared" ref="CN35:CQ37" si="153">CD35*BD35+CS35</f>
        <v>83.95777736938436</v>
      </c>
      <c r="CO35" s="43">
        <f t="shared" si="153"/>
        <v>109.14981257429483</v>
      </c>
      <c r="CP35" s="43">
        <f t="shared" si="153"/>
        <v>131.37718807284136</v>
      </c>
      <c r="CQ35" s="43">
        <f t="shared" si="153"/>
        <v>158.46290093505033</v>
      </c>
      <c r="CR35" s="7"/>
      <c r="CS35" s="7"/>
      <c r="CT35" s="7"/>
      <c r="CU35" s="7"/>
      <c r="CV35" s="7"/>
      <c r="CW35" s="7"/>
      <c r="CX35" s="41"/>
      <c r="CY35" s="41"/>
      <c r="CZ35" s="41"/>
      <c r="DA35" s="41"/>
      <c r="DB35" s="19"/>
      <c r="DC35" s="40">
        <v>542.5</v>
      </c>
      <c r="DD35" s="40">
        <v>542.5</v>
      </c>
      <c r="DE35" s="40">
        <v>548.77314949323886</v>
      </c>
      <c r="DF35" s="40">
        <v>536.25053130084848</v>
      </c>
      <c r="DG35" s="40">
        <v>515.4615039869044</v>
      </c>
      <c r="DH35" s="40">
        <v>4713.1888020445676</v>
      </c>
      <c r="DI35" s="40">
        <v>3790.7845737744988</v>
      </c>
      <c r="DJ35" s="40">
        <v>3655.0317112556431</v>
      </c>
      <c r="DK35" s="40">
        <v>3700</v>
      </c>
      <c r="DL35" s="40">
        <v>3700</v>
      </c>
      <c r="DM35" s="7"/>
      <c r="DN35" s="7"/>
      <c r="DO35" s="7">
        <v>1.9522000000000002</v>
      </c>
      <c r="DP35" s="7">
        <v>2.1474200000000003</v>
      </c>
      <c r="DQ35" s="7">
        <v>2.3621620000000005</v>
      </c>
      <c r="DR35" s="7">
        <v>2.5983782000000009</v>
      </c>
      <c r="DS35" s="7">
        <v>2.8582160200000013</v>
      </c>
      <c r="DT35" s="78" t="e">
        <f ca="1">_xlfn.RRI(DT$2,$H35,CN35+$DO35*$DT$2)</f>
        <v>#VALUE!</v>
      </c>
      <c r="DU35" s="78" t="e">
        <f ca="1">_xlfn.RRI(DU$2,$H35,CO35+$DO35*$DT$2+SUM($DP35:DP35))</f>
        <v>#VALUE!</v>
      </c>
      <c r="DV35" s="6" t="e">
        <f ca="1">_xlfn.RRI(DV$2,$H35,CP35+$DO35*$DT$2+SUM($DP35:DQ35))</f>
        <v>#VALUE!</v>
      </c>
      <c r="DW35" s="6" t="e">
        <f ca="1">_xlfn.RRI(DW$2,$H35,CQ35+$DO35*$DT$2+SUM($DP35:DR35))</f>
        <v>#VALUE!</v>
      </c>
      <c r="DX35" s="171" t="e">
        <f ca="1">SUM(CN35,$DO35:DO35)/$H35</f>
        <v>#VALUE!</v>
      </c>
      <c r="DY35" s="132" t="e">
        <f ca="1">SUM(CO35,$DO35:DP35)/$H35</f>
        <v>#VALUE!</v>
      </c>
      <c r="DZ35" s="132" t="e">
        <f ca="1">SUM(CP35,$DO35:DQ35)/$H35</f>
        <v>#VALUE!</v>
      </c>
      <c r="EA35" s="132" t="e">
        <f ca="1">SUM(CQ35,$DO35:DR35)/$H35</f>
        <v>#VALUE!</v>
      </c>
      <c r="EB35" s="78" cm="1">
        <f t="array" ref="EB35">_xll.BDP(""&amp;$B35&amp;"","CHG_PCT_1M")/100</f>
        <v>-7.5385980000000005E-2</v>
      </c>
      <c r="EC35" s="6" cm="1">
        <f t="array" ref="EC35">_xll.BDP(""&amp;$B35&amp;"","CHG_PCT_3M")/100</f>
        <v>0.41454380000000002</v>
      </c>
      <c r="ED35" s="194" cm="1">
        <f t="array" ref="ED35">_xll.BDP(""&amp;$B35&amp;"","CHG_PCT_6M")/100</f>
        <v>0.36035640000000002</v>
      </c>
      <c r="EE35" s="363">
        <f ca="1">_xlfn.RRI(2+$DT$2,$DT$2*S35+(1-$DT$2)*T35,V35)</f>
        <v>0.1752934873638814</v>
      </c>
      <c r="EF35" s="175">
        <f ca="1">EG35-EE35</f>
        <v>0.14733998838532436</v>
      </c>
      <c r="EG35" s="363">
        <f ca="1">_xlfn.RRI(2+$DT$2,$DT$2*(BC35*DC35)+(1-$DT$2)*(BD35*DD35),(BF35*DF35))</f>
        <v>0.32263347574920576</v>
      </c>
      <c r="EH35" s="6">
        <f ca="1">EI35-EG35</f>
        <v>6.0024152020063948E-3</v>
      </c>
      <c r="EI35" s="363">
        <f ca="1">ER35+EQ35</f>
        <v>0.32863589095121215</v>
      </c>
      <c r="EJ35" s="6" t="e">
        <f ca="1">EK35-EI35</f>
        <v>#VALUE!</v>
      </c>
      <c r="EK35" s="194" t="e">
        <f ca="1">DV35</f>
        <v>#VALUE!</v>
      </c>
      <c r="EL35" s="6">
        <f>_xlfn.RRI(3,AK35,AN35)</f>
        <v>0.2292706561373965</v>
      </c>
      <c r="EM35" s="194">
        <f>_xlfn.RRI(3,BC35,BF35)</f>
        <v>0.40523878981373151</v>
      </c>
      <c r="EN35" s="163" cm="1">
        <f t="array" ref="EN35">_xll.BDP(B35,"AVG_DAILY_VALUE_TRADED_3M")/10^6</f>
        <v>848.85548800000004</v>
      </c>
      <c r="EQ35" s="361">
        <f ca="1">IFERROR(AVERAGE(DP35:DQ35)/H35,0)</f>
        <v>0</v>
      </c>
      <c r="ER35" s="361">
        <f ca="1">_xlfn.RRI(2+$DT$2,$DT$2*(BC35)+(1-$DT$2)*(BD35),(BF35))</f>
        <v>0.32863589095121215</v>
      </c>
      <c r="EX35" s="292"/>
      <c r="EY35" s="292"/>
      <c r="EZ35" s="292"/>
      <c r="FA35" s="292"/>
      <c r="FB35" s="292"/>
      <c r="FC35" s="292"/>
      <c r="FD35" s="292"/>
      <c r="FE35" s="292"/>
      <c r="FF35" s="296">
        <v>0.3</v>
      </c>
      <c r="FG35" s="296">
        <v>-0.15</v>
      </c>
      <c r="FH35" s="295">
        <f>FF35-FG35</f>
        <v>0.44999999999999996</v>
      </c>
      <c r="FI35" s="298">
        <f>FT35/CF35-1</f>
        <v>0.30000000000000004</v>
      </c>
      <c r="FJ35" s="298">
        <f>FU35/CF35-1</f>
        <v>-0.30000000000000004</v>
      </c>
      <c r="FK35" s="295">
        <f>FI35-FJ35</f>
        <v>0.60000000000000009</v>
      </c>
      <c r="FL35" s="15">
        <f>FF35+FG35</f>
        <v>0.15</v>
      </c>
      <c r="FM35" s="15">
        <f>FJ35+FI35</f>
        <v>0</v>
      </c>
      <c r="FN35" s="15" t="e">
        <f ca="1">EK35+FF35/3+FI35/3</f>
        <v>#VALUE!</v>
      </c>
      <c r="FO35" s="15" t="e">
        <f ca="1">EK35+FG35/3+FJ35/3</f>
        <v>#VALUE!</v>
      </c>
      <c r="FP35" s="300" t="e">
        <f ca="1">EK35+FL35/3+FM35/3</f>
        <v>#VALUE!</v>
      </c>
      <c r="FQ35" s="15" t="e">
        <f ca="1">EK35</f>
        <v>#VALUE!</v>
      </c>
      <c r="FR35" s="300" t="e">
        <f ca="1">FP35-FQ35</f>
        <v>#VALUE!</v>
      </c>
      <c r="FS35" s="15" t="e">
        <f ca="1">FN35-FO35</f>
        <v>#VALUE!</v>
      </c>
      <c r="FT35" s="294">
        <v>26</v>
      </c>
      <c r="FU35" s="294">
        <v>14</v>
      </c>
    </row>
    <row r="36" spans="2:177" x14ac:dyDescent="0.25">
      <c r="B36" s="10" t="s">
        <v>179</v>
      </c>
      <c r="C36" s="10"/>
      <c r="D36" s="38" t="s">
        <v>156</v>
      </c>
      <c r="E36" s="392">
        <v>2</v>
      </c>
      <c r="F36" s="393">
        <v>46119</v>
      </c>
      <c r="G36" s="392"/>
      <c r="H36" s="411" t="str" cm="1">
        <f t="array" aca="1" ref="H36" ca="1">_xll.BQL($B36, "px_last", "dates=" &amp; _xll.BQL.DATE($D$2))</f>
        <v>#N/A Connection</v>
      </c>
      <c r="I36" s="396">
        <v>571</v>
      </c>
      <c r="J36" s="25">
        <v>-256</v>
      </c>
      <c r="K36" s="396">
        <v>4634</v>
      </c>
      <c r="L36" s="392"/>
      <c r="M36" s="76">
        <f>K36+J36</f>
        <v>4378</v>
      </c>
      <c r="N36" s="76" t="e">
        <f ca="1">I36*H36+M36+L36</f>
        <v>#VALUE!</v>
      </c>
      <c r="O36" s="396">
        <v>34176</v>
      </c>
      <c r="P36" s="396">
        <v>35902</v>
      </c>
      <c r="Q36" s="396">
        <v>38153</v>
      </c>
      <c r="R36" s="396">
        <v>40152</v>
      </c>
      <c r="S36" s="396">
        <v>43106.592000000004</v>
      </c>
      <c r="T36" s="396">
        <v>47244.824832000006</v>
      </c>
      <c r="U36" s="396">
        <v>51166.145293056004</v>
      </c>
      <c r="V36" s="396">
        <v>54594.277027690754</v>
      </c>
      <c r="W36" s="396">
        <v>57596.962264213747</v>
      </c>
      <c r="X36" s="4">
        <f t="shared" ref="X36:AF36" si="154">AG36/O36</f>
        <v>0.40601591760299627</v>
      </c>
      <c r="Y36" s="4">
        <f t="shared" si="154"/>
        <v>0.41813826527770043</v>
      </c>
      <c r="Z36" s="4">
        <f t="shared" si="154"/>
        <v>0.42638848845438104</v>
      </c>
      <c r="AA36" s="4">
        <f t="shared" si="154"/>
        <v>0.42077605100617654</v>
      </c>
      <c r="AB36" s="4">
        <f t="shared" si="154"/>
        <v>0.42327605100617655</v>
      </c>
      <c r="AC36" s="4">
        <f t="shared" si="154"/>
        <v>0.42577605100617655</v>
      </c>
      <c r="AD36" s="4">
        <f t="shared" si="154"/>
        <v>0.42827605100617655</v>
      </c>
      <c r="AE36" s="4">
        <f t="shared" si="154"/>
        <v>0.43077605100617655</v>
      </c>
      <c r="AF36" s="4">
        <f t="shared" si="154"/>
        <v>0.43327605100617655</v>
      </c>
      <c r="AG36" s="417">
        <v>13876</v>
      </c>
      <c r="AH36" s="417">
        <v>15012</v>
      </c>
      <c r="AI36" s="417">
        <v>16268</v>
      </c>
      <c r="AJ36" s="417">
        <v>16895</v>
      </c>
      <c r="AK36" s="417">
        <v>18245.988034094444</v>
      </c>
      <c r="AL36" s="417">
        <v>20115.714947447512</v>
      </c>
      <c r="AM36" s="417">
        <v>21913.234651318293</v>
      </c>
      <c r="AN36" s="417">
        <v>23517.907065525844</v>
      </c>
      <c r="AO36" s="417">
        <v>24955.384359790303</v>
      </c>
      <c r="AP36" s="399">
        <f t="shared" ref="AP36:AX36" si="155">AY36</f>
        <v>7.3353245149027382</v>
      </c>
      <c r="AQ36" s="399">
        <f t="shared" si="155"/>
        <v>7.4291705643684463</v>
      </c>
      <c r="AR36" s="399">
        <f t="shared" si="155"/>
        <v>8.4292358069909454</v>
      </c>
      <c r="AS36" s="399">
        <f t="shared" si="155"/>
        <v>8.7645961770874745</v>
      </c>
      <c r="AT36" s="399">
        <f t="shared" si="155"/>
        <v>10.118098155403851</v>
      </c>
      <c r="AU36" s="399">
        <f t="shared" si="155"/>
        <v>11.686460573845341</v>
      </c>
      <c r="AV36" s="399">
        <f t="shared" si="155"/>
        <v>13.168168474676882</v>
      </c>
      <c r="AW36" s="399">
        <f t="shared" si="155"/>
        <v>14.563010417844174</v>
      </c>
      <c r="AX36" s="399">
        <f t="shared" si="155"/>
        <v>15.956887467831717</v>
      </c>
      <c r="AY36" s="418">
        <v>7.3353245149027382</v>
      </c>
      <c r="AZ36" s="418">
        <v>7.4291705643684463</v>
      </c>
      <c r="BA36" s="418">
        <v>8.4292358069909454</v>
      </c>
      <c r="BB36" s="418">
        <v>8.7645961770874745</v>
      </c>
      <c r="BC36" s="418">
        <v>10.118098155403851</v>
      </c>
      <c r="BD36" s="418">
        <v>11.686460573845341</v>
      </c>
      <c r="BE36" s="418">
        <v>13.168168474676882</v>
      </c>
      <c r="BF36" s="418">
        <v>14.563010417844174</v>
      </c>
      <c r="BG36" s="418">
        <v>15.956887467831717</v>
      </c>
      <c r="BH36" s="400" t="e">
        <f t="shared" ca="1" si="150"/>
        <v>#VALUE!</v>
      </c>
      <c r="BI36" s="400" t="e">
        <f t="shared" ca="1" si="150"/>
        <v>#VALUE!</v>
      </c>
      <c r="BJ36" s="400" t="e">
        <f t="shared" ca="1" si="150"/>
        <v>#VALUE!</v>
      </c>
      <c r="BK36" s="400" t="e">
        <f t="shared" ca="1" si="150"/>
        <v>#VALUE!</v>
      </c>
      <c r="BL36" s="400" t="e">
        <f t="shared" ca="1" si="150"/>
        <v>#VALUE!</v>
      </c>
      <c r="BM36" s="400" t="e">
        <f t="shared" ca="1" si="150"/>
        <v>#VALUE!</v>
      </c>
      <c r="BN36" s="400" t="e">
        <f t="shared" ca="1" si="150"/>
        <v>#VALUE!</v>
      </c>
      <c r="BO36" s="400" t="e">
        <f t="shared" ca="1" si="151"/>
        <v>#VALUE!</v>
      </c>
      <c r="BP36" s="400" t="e">
        <f t="shared" ca="1" si="151"/>
        <v>#VALUE!</v>
      </c>
      <c r="BQ36" s="400" t="e">
        <f t="shared" ca="1" si="151"/>
        <v>#VALUE!</v>
      </c>
      <c r="BR36" s="400" t="e">
        <f t="shared" ca="1" si="151"/>
        <v>#VALUE!</v>
      </c>
      <c r="BS36" s="400" t="e">
        <f t="shared" ca="1" si="151"/>
        <v>#VALUE!</v>
      </c>
      <c r="BT36" s="432"/>
      <c r="BU36" s="432"/>
      <c r="BV36" s="432"/>
      <c r="BW36" s="432"/>
      <c r="BX36" s="432"/>
      <c r="BY36" s="8" t="e">
        <f t="shared" ca="1" si="152"/>
        <v>#VALUE!</v>
      </c>
      <c r="BZ36" s="400" t="e">
        <f t="shared" ca="1" si="152"/>
        <v>#VALUE!</v>
      </c>
      <c r="CA36" s="400" t="e">
        <f t="shared" ca="1" si="152"/>
        <v>#VALUE!</v>
      </c>
      <c r="CB36" s="400" t="e">
        <f t="shared" ca="1" si="152"/>
        <v>#VALUE!</v>
      </c>
      <c r="CC36" s="400" t="e">
        <f t="shared" ca="1" si="152"/>
        <v>#VALUE!</v>
      </c>
      <c r="CD36" s="12">
        <v>22</v>
      </c>
      <c r="CE36" s="167">
        <v>22</v>
      </c>
      <c r="CF36" s="12">
        <f t="shared" ref="CF36:CH37" si="156">CE36</f>
        <v>22</v>
      </c>
      <c r="CG36" s="12">
        <f t="shared" si="156"/>
        <v>22</v>
      </c>
      <c r="CH36" s="82">
        <f t="shared" si="156"/>
        <v>22</v>
      </c>
      <c r="CI36" s="46"/>
      <c r="CJ36" s="46"/>
      <c r="CK36" s="46"/>
      <c r="CL36" s="46"/>
      <c r="CM36" s="46"/>
      <c r="CN36" s="181">
        <f t="shared" si="153"/>
        <v>257.10213262459752</v>
      </c>
      <c r="CO36" s="181">
        <f t="shared" si="153"/>
        <v>289.6997064428914</v>
      </c>
      <c r="CP36" s="181">
        <f t="shared" si="153"/>
        <v>320.38622919257182</v>
      </c>
      <c r="CQ36" s="181">
        <f t="shared" si="153"/>
        <v>351.05152429229776</v>
      </c>
      <c r="CR36" s="7"/>
      <c r="CS36" s="7"/>
      <c r="CT36" s="7"/>
      <c r="CU36" s="7"/>
      <c r="CV36" s="7"/>
      <c r="CW36" s="7"/>
      <c r="CX36" s="19"/>
      <c r="CY36" s="19"/>
      <c r="CZ36" s="19"/>
      <c r="DA36" s="19"/>
      <c r="DB36" s="19"/>
      <c r="DC36" s="40">
        <v>569.08500000000004</v>
      </c>
      <c r="DD36" s="40">
        <v>569.08500000000004</v>
      </c>
      <c r="DE36" s="40">
        <v>569.08500000000004</v>
      </c>
      <c r="DF36" s="40">
        <v>569.08500000000004</v>
      </c>
      <c r="DG36" s="40">
        <v>569.08500000000004</v>
      </c>
      <c r="DH36" s="40"/>
      <c r="DI36" s="40"/>
      <c r="DJ36" s="40"/>
      <c r="DK36" s="40"/>
      <c r="DL36" s="40"/>
      <c r="DM36" s="7"/>
      <c r="DN36" s="7"/>
      <c r="DO36" s="7">
        <v>4.2</v>
      </c>
      <c r="DP36" s="7">
        <v>5.1394413869593043</v>
      </c>
      <c r="DQ36" s="7">
        <v>5.8138010057729836</v>
      </c>
      <c r="DR36" s="7">
        <v>6.4205319897247906</v>
      </c>
      <c r="DS36" s="7">
        <v>7.0160967806631449</v>
      </c>
      <c r="DT36" s="78" t="e">
        <f ca="1">_xlfn.RRI(DT$2,$H36,CN36+$DO36*$DT$2)</f>
        <v>#VALUE!</v>
      </c>
      <c r="DU36" s="78" t="e">
        <f ca="1">_xlfn.RRI(DU$2,$H36,CO36+$DO36*$DT$2+SUM($DP36:DP36))</f>
        <v>#VALUE!</v>
      </c>
      <c r="DV36" s="6" t="e">
        <f ca="1">_xlfn.RRI(DV$2,$H36,CP36+$DO36*$DT$2+SUM($DP36:DQ36))</f>
        <v>#VALUE!</v>
      </c>
      <c r="DW36" s="6" t="e">
        <f ca="1">_xlfn.RRI(DW$2,$H36,CQ36+$DO36*$DT$2+SUM($DP36:DR36))</f>
        <v>#VALUE!</v>
      </c>
      <c r="DX36" s="171" t="e">
        <f ca="1">SUM(CN36,$DO36:DO36)/$H36</f>
        <v>#VALUE!</v>
      </c>
      <c r="DY36" s="132" t="e">
        <f ca="1">SUM(CO36,$DO36:DP36)/$H36</f>
        <v>#VALUE!</v>
      </c>
      <c r="DZ36" s="132" t="e">
        <f ca="1">SUM(CP36,$DO36:DQ36)/$H36</f>
        <v>#VALUE!</v>
      </c>
      <c r="EA36" s="132" t="e">
        <f ca="1">SUM(CQ36,$DO36:DR36)/$H36</f>
        <v>#VALUE!</v>
      </c>
      <c r="EB36" s="78" cm="1">
        <f t="array" ref="EB36">_xll.BDP(""&amp;$B36&amp;"","CHG_PCT_1M")/100</f>
        <v>-3.8518200000000002E-3</v>
      </c>
      <c r="EC36" s="6" cm="1">
        <f t="array" ref="EC36">_xll.BDP(""&amp;$B36&amp;"","CHG_PCT_3M")/100</f>
        <v>8.9031459999999993E-2</v>
      </c>
      <c r="ED36" s="194" cm="1">
        <f t="array" ref="ED36">_xll.BDP(""&amp;$B36&amp;"","CHG_PCT_6M")/100</f>
        <v>0.14288719999999999</v>
      </c>
      <c r="EE36" s="363">
        <f ca="1">_xlfn.RRI(2+$DT$2,$DT$2*S36+(1-$DT$2)*T36,V36)</f>
        <v>7.9090441617267748E-2</v>
      </c>
      <c r="EF36" s="175">
        <f ca="1">EG36-EE36</f>
        <v>4.4427731135787463E-2</v>
      </c>
      <c r="EG36" s="363">
        <f ca="1">_xlfn.RRI(2+$DT$2,$DT$2*(BC36*DC36)+(1-$DT$2)*(BD36*DD36),(BF36*DF36))</f>
        <v>0.12351817275305521</v>
      </c>
      <c r="EH36" s="6">
        <f ca="1">EI36-EG36</f>
        <v>0</v>
      </c>
      <c r="EI36" s="363">
        <f ca="1">ER36+EQ36</f>
        <v>0.12351817275305521</v>
      </c>
      <c r="EJ36" s="6" t="e">
        <f ca="1">EK36-EI36</f>
        <v>#VALUE!</v>
      </c>
      <c r="EK36" s="194" t="e">
        <f ca="1">DV36</f>
        <v>#VALUE!</v>
      </c>
      <c r="EL36" s="6">
        <f>_xlfn.RRI(3,AK36,AN36)</f>
        <v>8.8287801853754511E-2</v>
      </c>
      <c r="EM36" s="194">
        <f>_xlfn.RRI(3,BC36,BF36)</f>
        <v>0.12906104610494396</v>
      </c>
      <c r="EN36" s="163" cm="1">
        <f t="array" ref="EN36">_xll.BDP(B36,"AVG_DAILY_VALUE_TRADED_3M")/10^6</f>
        <v>264.6164</v>
      </c>
      <c r="EQ36" s="361">
        <f ca="1">IFERROR(AVERAGE(DP36:DQ36)/H36,0)</f>
        <v>0</v>
      </c>
      <c r="ER36" s="361">
        <f ca="1">_xlfn.RRI(2+$DT$2,$DT$2*(BC36)+(1-$DT$2)*(BD36),(BF36))</f>
        <v>0.12351817275305521</v>
      </c>
      <c r="EX36" s="352" cm="1">
        <f t="array" ref="EX36">_xll.BQL("SU FP Equity", "IS_COMP_EPS_ADJUSTED_OLD", "FPT=A", "FPr="&amp;EX$5&amp;"", "ACT_EST_MAPPING=PRECISE", "FS=MRC", "CURRENCY=EUR", "XLFILL=b")</f>
        <v>9.7885000000000009</v>
      </c>
      <c r="EY36" s="352" cm="1">
        <f t="array" ref="EY36">_xll.BQL("SU FP Equity", "IS_COMP_EPS_ADJUSTED_OLD", "FPT=A", "FPr="&amp;EY$5&amp;"", "ACT_EST_MAPPING=PRECISE", "FS=MRC", "CURRENCY=EUR", "XLFILL=b")</f>
        <v>11.448421052631579</v>
      </c>
      <c r="EZ36" s="352" cm="1">
        <f t="array" ref="EZ36">_xll.BQL("SU FP Equity", "IS_COMP_EPS_ADJUSTED_OLD", "FPT=A", "FPr="&amp;EZ$5&amp;"", "ACT_EST_MAPPING=PRECISE", "FS=MRC", "CURRENCY=EUR", "XLFILL=b")</f>
        <v>13.154999999999999</v>
      </c>
      <c r="FA36" s="352" cm="1">
        <f t="array" ref="FA36">_xll.BQL("SU FP Equity", "IS_COMP_EPS_ADJUSTED_OLD", "FPT=A", "FPr="&amp;FA$5&amp;"", "ACT_EST_MAPPING=PRECISE", "FS=MRC", "CURRENCY=EUR", "XLFILL=b")</f>
        <v>14.82</v>
      </c>
      <c r="FB36" s="351">
        <f>AT36/EX36-1</f>
        <v>3.3671977872385961E-2</v>
      </c>
      <c r="FC36" s="351">
        <f>AU36/EY36-1</f>
        <v>2.0792345085792086E-2</v>
      </c>
      <c r="FD36" s="351">
        <f>AV36/EZ36-1</f>
        <v>1.0010243007891884E-3</v>
      </c>
      <c r="FE36" s="351">
        <f>AW36/FA36-1</f>
        <v>-1.7340727540879008E-2</v>
      </c>
      <c r="FF36" s="296">
        <v>0.15</v>
      </c>
      <c r="FG36" s="296">
        <v>-0.15</v>
      </c>
      <c r="FH36" s="295">
        <f>FF36-FG36</f>
        <v>0.3</v>
      </c>
      <c r="FI36" s="298">
        <f>FT36/CF36-1</f>
        <v>0.27272727272727271</v>
      </c>
      <c r="FJ36" s="298">
        <f>FU36/CF36-1</f>
        <v>-0.27272727272727271</v>
      </c>
      <c r="FK36" s="295">
        <f>FI36-FJ36</f>
        <v>0.54545454545454541</v>
      </c>
      <c r="FL36" s="15">
        <f>FF36+FG36</f>
        <v>0</v>
      </c>
      <c r="FM36" s="15">
        <f>FJ36+FI36</f>
        <v>0</v>
      </c>
      <c r="FN36" s="15" t="e">
        <f ca="1">EK36+FF36/3+FI36/3</f>
        <v>#VALUE!</v>
      </c>
      <c r="FO36" s="15" t="e">
        <f ca="1">EK36+FG36/3+FJ36/3</f>
        <v>#VALUE!</v>
      </c>
      <c r="FP36" s="300" t="e">
        <f ca="1">EK36+FL36/3+FM36/3</f>
        <v>#VALUE!</v>
      </c>
      <c r="FQ36" s="15" t="e">
        <f ca="1">EK36</f>
        <v>#VALUE!</v>
      </c>
      <c r="FR36" s="300" t="e">
        <f ca="1">FP36-FQ36</f>
        <v>#VALUE!</v>
      </c>
      <c r="FS36" s="15" t="e">
        <f ca="1">FN36-FO36</f>
        <v>#VALUE!</v>
      </c>
      <c r="FT36" s="294">
        <v>28</v>
      </c>
      <c r="FU36" s="294">
        <v>16</v>
      </c>
    </row>
    <row r="37" spans="2:177" x14ac:dyDescent="0.25">
      <c r="B37" s="10" t="s">
        <v>175</v>
      </c>
      <c r="C37" s="10"/>
      <c r="D37" s="38" t="s">
        <v>158</v>
      </c>
      <c r="E37" s="291">
        <v>2</v>
      </c>
      <c r="F37" s="393">
        <v>46119</v>
      </c>
      <c r="G37" s="394"/>
      <c r="H37" s="411" t="str" cm="1">
        <f t="array" aca="1" ref="H37" ca="1">_xll.BQL($B37, "px_last", "dates=" &amp; _xll.BQL.DATE($D$2))</f>
        <v>#N/A Connection</v>
      </c>
      <c r="I37" s="396">
        <v>496.709</v>
      </c>
      <c r="J37" s="25">
        <v>-3652.3209999999999</v>
      </c>
      <c r="K37" s="396">
        <v>8591.7049999999999</v>
      </c>
      <c r="L37" s="396"/>
      <c r="M37" s="76">
        <f>K37+J37</f>
        <v>4939.384</v>
      </c>
      <c r="N37" s="76" t="e">
        <f ca="1">I37*H37+M37+L37</f>
        <v>#VALUE!</v>
      </c>
      <c r="O37" s="396">
        <v>12062.550666666666</v>
      </c>
      <c r="P37" s="396">
        <v>11825.808666666666</v>
      </c>
      <c r="Q37" s="396">
        <v>9692.5820000000003</v>
      </c>
      <c r="R37" s="396">
        <v>11391.573723820045</v>
      </c>
      <c r="S37" s="396">
        <v>13652.819976495834</v>
      </c>
      <c r="T37" s="396">
        <v>15832.058961771027</v>
      </c>
      <c r="U37" s="396">
        <v>16861.142794286141</v>
      </c>
      <c r="V37" s="396">
        <v>17957.117075914739</v>
      </c>
      <c r="W37" s="396">
        <v>19124.329685849196</v>
      </c>
      <c r="X37" s="21">
        <v>0.73416385235494153</v>
      </c>
      <c r="Y37" s="21">
        <v>0.71914229346852854</v>
      </c>
      <c r="Z37" s="21">
        <v>0.68198358634813028</v>
      </c>
      <c r="AA37" s="21">
        <v>0.69524994832839904</v>
      </c>
      <c r="AB37" s="21">
        <v>0.70431791739188543</v>
      </c>
      <c r="AC37" s="21">
        <v>0.7106059293042053</v>
      </c>
      <c r="AD37" s="21">
        <v>0.71301026225746966</v>
      </c>
      <c r="AE37" s="21">
        <v>0.71526785188494812</v>
      </c>
      <c r="AF37" s="21">
        <v>0.71738765435206375</v>
      </c>
      <c r="AG37" s="417">
        <f t="shared" ref="AG37:AO37" si="157">X37*O37</f>
        <v>8855.8886666666676</v>
      </c>
      <c r="AH37" s="417">
        <f t="shared" si="157"/>
        <v>8504.439166666667</v>
      </c>
      <c r="AI37" s="417">
        <f t="shared" si="157"/>
        <v>6610.1818333333331</v>
      </c>
      <c r="AJ37" s="417">
        <f t="shared" si="157"/>
        <v>7919.9910428650346</v>
      </c>
      <c r="AK37" s="417">
        <f t="shared" si="157"/>
        <v>9615.9257323718757</v>
      </c>
      <c r="AL37" s="417">
        <f t="shared" si="157"/>
        <v>11250.354971328272</v>
      </c>
      <c r="AM37" s="417">
        <f t="shared" si="157"/>
        <v>12022.167845714606</v>
      </c>
      <c r="AN37" s="417">
        <f t="shared" si="157"/>
        <v>12844.148556936056</v>
      </c>
      <c r="AO37" s="417">
        <f t="shared" si="157"/>
        <v>13719.558014386896</v>
      </c>
      <c r="AP37" s="399">
        <v>9.6536192324330603</v>
      </c>
      <c r="AQ37" s="399">
        <v>9.4699005321248055</v>
      </c>
      <c r="AR37" s="399">
        <v>6.6150000000000002</v>
      </c>
      <c r="AS37" s="399">
        <v>8.185793262323271</v>
      </c>
      <c r="AT37" s="399">
        <v>10.648839486591106</v>
      </c>
      <c r="AU37" s="399">
        <v>13.346218346167658</v>
      </c>
      <c r="AV37" s="399">
        <v>15.019715424182962</v>
      </c>
      <c r="AW37" s="399">
        <v>16.794947190877917</v>
      </c>
      <c r="AX37" s="399">
        <v>18.828811530735685</v>
      </c>
      <c r="AY37" s="418">
        <f t="shared" ref="AY37:BG37" si="158">AP37</f>
        <v>9.6536192324330603</v>
      </c>
      <c r="AZ37" s="418">
        <f t="shared" si="158"/>
        <v>9.4699005321248055</v>
      </c>
      <c r="BA37" s="418">
        <f t="shared" si="158"/>
        <v>6.6150000000000002</v>
      </c>
      <c r="BB37" s="418">
        <f t="shared" si="158"/>
        <v>8.185793262323271</v>
      </c>
      <c r="BC37" s="418">
        <f t="shared" si="158"/>
        <v>10.648839486591106</v>
      </c>
      <c r="BD37" s="418">
        <f t="shared" si="158"/>
        <v>13.346218346167658</v>
      </c>
      <c r="BE37" s="418">
        <f t="shared" si="158"/>
        <v>15.019715424182962</v>
      </c>
      <c r="BF37" s="418">
        <f t="shared" si="158"/>
        <v>16.794947190877917</v>
      </c>
      <c r="BG37" s="418">
        <f t="shared" si="158"/>
        <v>18.828811530735685</v>
      </c>
      <c r="BH37" s="400" t="e">
        <f t="shared" ca="1" si="150"/>
        <v>#VALUE!</v>
      </c>
      <c r="BI37" s="400" t="e">
        <f t="shared" ca="1" si="150"/>
        <v>#VALUE!</v>
      </c>
      <c r="BJ37" s="400" t="e">
        <f t="shared" ca="1" si="150"/>
        <v>#VALUE!</v>
      </c>
      <c r="BK37" s="400" t="e">
        <f t="shared" ca="1" si="150"/>
        <v>#VALUE!</v>
      </c>
      <c r="BL37" s="400" t="e">
        <f t="shared" ca="1" si="150"/>
        <v>#VALUE!</v>
      </c>
      <c r="BM37" s="400" t="e">
        <f t="shared" ca="1" si="150"/>
        <v>#VALUE!</v>
      </c>
      <c r="BN37" s="400" t="e">
        <f t="shared" ca="1" si="150"/>
        <v>#VALUE!</v>
      </c>
      <c r="BO37" s="400" t="e">
        <f t="shared" ca="1" si="151"/>
        <v>#VALUE!</v>
      </c>
      <c r="BP37" s="400" t="e">
        <f t="shared" ca="1" si="151"/>
        <v>#VALUE!</v>
      </c>
      <c r="BQ37" s="400" t="e">
        <f t="shared" ca="1" si="151"/>
        <v>#VALUE!</v>
      </c>
      <c r="BR37" s="400" t="e">
        <f t="shared" ca="1" si="151"/>
        <v>#VALUE!</v>
      </c>
      <c r="BS37" s="400" t="e">
        <f t="shared" ca="1" si="151"/>
        <v>#VALUE!</v>
      </c>
      <c r="BT37" s="400" t="e">
        <f ca="1">$H37/AT37</f>
        <v>#VALUE!</v>
      </c>
      <c r="BU37" s="400" t="e">
        <f ca="1">$H37/AU37</f>
        <v>#VALUE!</v>
      </c>
      <c r="BV37" s="400" t="e">
        <f ca="1">$H37/AV37</f>
        <v>#VALUE!</v>
      </c>
      <c r="BW37" s="400" t="e">
        <f ca="1">$H37/AW37</f>
        <v>#VALUE!</v>
      </c>
      <c r="BX37" s="400" t="e">
        <f ca="1">$H37/AX37</f>
        <v>#VALUE!</v>
      </c>
      <c r="BY37" s="8" t="e">
        <f t="shared" ca="1" si="152"/>
        <v>#VALUE!</v>
      </c>
      <c r="BZ37" s="400" t="e">
        <f t="shared" ca="1" si="152"/>
        <v>#VALUE!</v>
      </c>
      <c r="CA37" s="400" t="e">
        <f t="shared" ca="1" si="152"/>
        <v>#VALUE!</v>
      </c>
      <c r="CB37" s="400" t="e">
        <f t="shared" ca="1" si="152"/>
        <v>#VALUE!</v>
      </c>
      <c r="CC37" s="400" t="e">
        <f t="shared" ca="1" si="152"/>
        <v>#VALUE!</v>
      </c>
      <c r="CD37" s="12">
        <v>24</v>
      </c>
      <c r="CE37" s="167">
        <f>CD37</f>
        <v>24</v>
      </c>
      <c r="CF37" s="12">
        <f t="shared" si="156"/>
        <v>24</v>
      </c>
      <c r="CG37" s="12">
        <f t="shared" si="156"/>
        <v>24</v>
      </c>
      <c r="CH37" s="82">
        <f t="shared" si="156"/>
        <v>24</v>
      </c>
      <c r="CI37" s="46"/>
      <c r="CJ37" s="46"/>
      <c r="CK37" s="46"/>
      <c r="CL37" s="46"/>
      <c r="CM37" s="46"/>
      <c r="CN37" s="43">
        <f t="shared" si="153"/>
        <v>320.30924030802379</v>
      </c>
      <c r="CO37" s="43">
        <f t="shared" si="153"/>
        <v>360.47317018039109</v>
      </c>
      <c r="CP37" s="43">
        <f t="shared" si="153"/>
        <v>403.07873258106997</v>
      </c>
      <c r="CQ37" s="43">
        <f t="shared" si="153"/>
        <v>451.89147673765643</v>
      </c>
      <c r="CR37" s="7"/>
      <c r="CS37" s="7"/>
      <c r="CT37" s="7"/>
      <c r="CU37" s="7"/>
      <c r="CV37" s="7"/>
      <c r="CW37" s="7"/>
      <c r="CX37" s="41"/>
      <c r="CY37" s="41"/>
      <c r="CZ37" s="41"/>
      <c r="DA37" s="41"/>
      <c r="DB37" s="19"/>
      <c r="DC37" s="40">
        <v>489.01211480926463</v>
      </c>
      <c r="DD37" s="40">
        <v>476.34739597221483</v>
      </c>
      <c r="DE37" s="40">
        <v>459.37804965057353</v>
      </c>
      <c r="DF37" s="40">
        <v>441.93829100825155</v>
      </c>
      <c r="DG37" s="40">
        <v>427.07412499075235</v>
      </c>
      <c r="DH37" s="40">
        <v>5139.384</v>
      </c>
      <c r="DI37" s="40">
        <v>5339.384</v>
      </c>
      <c r="DJ37" s="40">
        <v>7387.9713703884418</v>
      </c>
      <c r="DK37" s="40">
        <v>7992.7683378063484</v>
      </c>
      <c r="DL37" s="40">
        <v>8641.1126470411709</v>
      </c>
      <c r="DM37" s="7"/>
      <c r="DN37" s="7"/>
      <c r="DO37" s="7">
        <v>4.3503166666666679</v>
      </c>
      <c r="DP37" s="7">
        <v>4.7853483333333351</v>
      </c>
      <c r="DQ37" s="7">
        <v>5.2638831666666688</v>
      </c>
      <c r="DR37" s="7">
        <v>5.7902714833333357</v>
      </c>
      <c r="DS37" s="7">
        <v>6.3692986316666698</v>
      </c>
      <c r="DT37" s="78" t="e">
        <f ca="1">_xlfn.RRI(DT$2,$H37,CN37+$DO37*$DT$2)</f>
        <v>#VALUE!</v>
      </c>
      <c r="DU37" s="78" t="e">
        <f ca="1">_xlfn.RRI(DU$2,$H37,CO37+$DO37*$DT$2+SUM($DP37:DP37))</f>
        <v>#VALUE!</v>
      </c>
      <c r="DV37" s="6" t="e">
        <f ca="1">_xlfn.RRI(DV$2,$H37,CP37+$DO37*$DT$2+SUM($DP37:DQ37))</f>
        <v>#VALUE!</v>
      </c>
      <c r="DW37" s="6" t="e">
        <f ca="1">_xlfn.RRI(DW$2,$H37,CQ37+$DO37*$DT$2+SUM($DP37:DR37))</f>
        <v>#VALUE!</v>
      </c>
      <c r="DX37" s="171" t="e">
        <f ca="1">SUM(CN37,$DO37:DO37)/$H37</f>
        <v>#VALUE!</v>
      </c>
      <c r="DY37" s="132" t="e">
        <f ca="1">SUM(CO37,$DO37:DP37)/$H37</f>
        <v>#VALUE!</v>
      </c>
      <c r="DZ37" s="132" t="e">
        <f ca="1">SUM(CP37,$DO37:DQ37)/$H37</f>
        <v>#VALUE!</v>
      </c>
      <c r="EA37" s="132" t="e">
        <f ca="1">SUM(CQ37,$DO37:DR37)/$H37</f>
        <v>#VALUE!</v>
      </c>
      <c r="EB37" s="78" cm="1">
        <f t="array" ref="EB37">_xll.BDP(""&amp;$B37&amp;"","CHG_PCT_1M")/100</f>
        <v>-1.5977600000000002E-2</v>
      </c>
      <c r="EC37" s="6" cm="1">
        <f t="array" ref="EC37">_xll.BDP(""&amp;$B37&amp;"","CHG_PCT_3M")/100</f>
        <v>0.29782150000000002</v>
      </c>
      <c r="ED37" s="194" cm="1">
        <f t="array" ref="ED37">_xll.BDP(""&amp;$B37&amp;"","CHG_PCT_6M")/100</f>
        <v>0.46836599999999995</v>
      </c>
      <c r="EE37" s="363">
        <f ca="1">_xlfn.RRI(2+$DT$2,$DT$2*S37+(1-$DT$2)*T37,V37)</f>
        <v>8.3832979828573739E-2</v>
      </c>
      <c r="EF37" s="175">
        <f ca="1">EG37-EE37</f>
        <v>2.374354270132284E-2</v>
      </c>
      <c r="EG37" s="363">
        <f ca="1">_xlfn.RRI(2+$DT$2,$DT$2*(BC37*DC37)+(1-$DT$2)*(BD37*DD37),(BF37*DF37))</f>
        <v>0.10757652252989658</v>
      </c>
      <c r="EH37" s="6">
        <f ca="1">EI37-EG37</f>
        <v>3.8865936341887064E-2</v>
      </c>
      <c r="EI37" s="363">
        <f ca="1">ER37+EQ37</f>
        <v>0.14644245887178364</v>
      </c>
      <c r="EJ37" s="6" t="e">
        <f ca="1">EK37-EI37</f>
        <v>#VALUE!</v>
      </c>
      <c r="EK37" s="194" t="e">
        <f ca="1">DV37</f>
        <v>#VALUE!</v>
      </c>
      <c r="EL37" s="6">
        <f>_xlfn.RRI(3,AK37,AN37)</f>
        <v>0.10129771936488186</v>
      </c>
      <c r="EM37" s="194">
        <f>_xlfn.RRI(3,BC37,BF37)</f>
        <v>0.1640155639375338</v>
      </c>
      <c r="EN37" s="163" cm="1">
        <f t="array" ref="EN37">_xll.BDP(B37,"AVG_DAILY_VALUE_TRADED_3M")/10^6</f>
        <v>1479.9408639999999</v>
      </c>
      <c r="EQ37" s="361">
        <f ca="1">IFERROR(AVERAGE(DP37:DQ37)/H37,0)</f>
        <v>0</v>
      </c>
      <c r="ER37" s="361">
        <f ca="1">_xlfn.RRI(2+$DT$2,$DT$2*(BC37)+(1-$DT$2)*(BD37),(BF37))</f>
        <v>0.14644245887178364</v>
      </c>
      <c r="EX37" s="292"/>
      <c r="EY37" s="292"/>
      <c r="EZ37" s="292"/>
      <c r="FA37" s="292"/>
      <c r="FB37" s="292"/>
      <c r="FC37" s="292"/>
      <c r="FD37" s="292"/>
      <c r="FE37" s="292"/>
      <c r="FF37" s="296">
        <v>0.3</v>
      </c>
      <c r="FG37" s="296">
        <v>-0.2</v>
      </c>
      <c r="FH37" s="295">
        <f>FF37-FG37</f>
        <v>0.5</v>
      </c>
      <c r="FI37" s="298">
        <f>FT37/CF37-1</f>
        <v>0.16666666666666674</v>
      </c>
      <c r="FJ37" s="298">
        <f>FU37/CF37-1</f>
        <v>-0.33333333333333337</v>
      </c>
      <c r="FK37" s="295">
        <f>FI37-FJ37</f>
        <v>0.50000000000000011</v>
      </c>
      <c r="FL37" s="15">
        <f>FF37+FG37</f>
        <v>9.9999999999999978E-2</v>
      </c>
      <c r="FM37" s="15">
        <f>FJ37+FI37</f>
        <v>-0.16666666666666663</v>
      </c>
      <c r="FN37" s="15" t="e">
        <f ca="1">EK37+FF37/3+FI37/3</f>
        <v>#VALUE!</v>
      </c>
      <c r="FO37" s="15" t="e">
        <f ca="1">EK37+FG37/3+FJ37/3</f>
        <v>#VALUE!</v>
      </c>
      <c r="FP37" s="300" t="e">
        <f ca="1">EK37+FL37/3+FM37/3</f>
        <v>#VALUE!</v>
      </c>
      <c r="FQ37" s="15" t="e">
        <f ca="1">EK37</f>
        <v>#VALUE!</v>
      </c>
      <c r="FR37" s="300" t="e">
        <f ca="1">FP37-FQ37</f>
        <v>#VALUE!</v>
      </c>
      <c r="FS37" s="15" t="e">
        <f ca="1">FN37-FO37</f>
        <v>#VALUE!</v>
      </c>
      <c r="FT37" s="294">
        <v>28</v>
      </c>
      <c r="FU37" s="294">
        <v>16</v>
      </c>
    </row>
    <row r="38" spans="2:177" x14ac:dyDescent="0.25">
      <c r="B38" s="10"/>
      <c r="C38" s="10"/>
      <c r="D38" s="38"/>
      <c r="E38" s="392"/>
      <c r="F38" s="436"/>
      <c r="G38" s="437"/>
      <c r="H38" s="438"/>
      <c r="I38" s="64"/>
      <c r="J38" s="64"/>
      <c r="K38" s="86"/>
      <c r="L38" s="437"/>
      <c r="M38" s="72"/>
      <c r="N38" s="153"/>
      <c r="O38" s="439"/>
      <c r="P38" s="439"/>
      <c r="Q38" s="439"/>
      <c r="R38" s="439"/>
      <c r="S38" s="439"/>
      <c r="T38" s="439"/>
      <c r="U38" s="439"/>
      <c r="V38" s="439"/>
      <c r="W38" s="439"/>
      <c r="X38" s="65"/>
      <c r="Y38" s="65"/>
      <c r="Z38" s="65"/>
      <c r="AA38" s="65"/>
      <c r="AB38" s="65"/>
      <c r="AC38" s="65"/>
      <c r="AD38" s="65"/>
      <c r="AE38" s="65"/>
      <c r="AF38" s="65"/>
      <c r="AG38" s="440"/>
      <c r="AH38" s="440"/>
      <c r="AI38" s="440"/>
      <c r="AJ38" s="440"/>
      <c r="AK38" s="440"/>
      <c r="AL38" s="440"/>
      <c r="AM38" s="440"/>
      <c r="AN38" s="440"/>
      <c r="AO38" s="440"/>
      <c r="AP38" s="441"/>
      <c r="AQ38" s="441"/>
      <c r="AR38" s="441"/>
      <c r="AS38" s="441"/>
      <c r="AT38" s="441"/>
      <c r="AU38" s="441"/>
      <c r="AV38" s="441"/>
      <c r="AW38" s="441"/>
      <c r="AX38" s="441"/>
      <c r="AY38" s="442"/>
      <c r="AZ38" s="442"/>
      <c r="BA38" s="442"/>
      <c r="BB38" s="442"/>
      <c r="BC38" s="442"/>
      <c r="BD38" s="442"/>
      <c r="BE38" s="442"/>
      <c r="BF38" s="442"/>
      <c r="BG38" s="442"/>
      <c r="BH38" s="443"/>
      <c r="BI38" s="443"/>
      <c r="BJ38" s="443"/>
      <c r="BK38" s="443"/>
      <c r="BL38" s="443"/>
      <c r="BM38" s="443"/>
      <c r="BN38" s="443"/>
      <c r="BO38" s="443"/>
      <c r="BP38" s="443"/>
      <c r="BQ38" s="443"/>
      <c r="BR38" s="443"/>
      <c r="BS38" s="443"/>
      <c r="BT38" s="443"/>
      <c r="BU38" s="443"/>
      <c r="BV38" s="443"/>
      <c r="BW38" s="443"/>
      <c r="BX38" s="443"/>
      <c r="BY38" s="66"/>
      <c r="BZ38" s="443"/>
      <c r="CA38" s="443"/>
      <c r="CB38" s="443"/>
      <c r="CC38" s="443"/>
      <c r="CD38" s="67"/>
      <c r="CE38" s="169"/>
      <c r="CF38" s="67"/>
      <c r="CG38" s="67"/>
      <c r="CH38" s="67"/>
      <c r="CI38" s="68"/>
      <c r="CJ38" s="68"/>
      <c r="CK38" s="68"/>
      <c r="CL38" s="68"/>
      <c r="CM38" s="68"/>
      <c r="CN38" s="73"/>
      <c r="CO38" s="73"/>
      <c r="CP38" s="73"/>
      <c r="CQ38" s="73"/>
      <c r="CR38" s="69"/>
      <c r="CS38" s="69"/>
      <c r="CT38" s="69"/>
      <c r="CU38" s="69"/>
      <c r="CV38" s="69"/>
      <c r="CW38" s="69"/>
      <c r="CX38" s="74"/>
      <c r="CY38" s="74"/>
      <c r="CZ38" s="74"/>
      <c r="DA38" s="74"/>
      <c r="DB38" s="74"/>
      <c r="DC38" s="70"/>
      <c r="DD38" s="70"/>
      <c r="DE38" s="70"/>
      <c r="DF38" s="70"/>
      <c r="DG38" s="70"/>
      <c r="DH38" s="70"/>
      <c r="DI38" s="70"/>
      <c r="DJ38" s="70"/>
      <c r="DK38" s="70"/>
      <c r="DL38" s="70"/>
      <c r="DM38" s="69"/>
      <c r="DN38" s="69"/>
      <c r="DO38" s="69"/>
      <c r="DP38" s="69"/>
      <c r="DQ38" s="69"/>
      <c r="DR38" s="69"/>
      <c r="DS38" s="69"/>
      <c r="DT38" s="77"/>
      <c r="DU38" s="77"/>
      <c r="DV38" s="71"/>
      <c r="DW38" s="71"/>
      <c r="DX38" s="166"/>
      <c r="DY38" s="392"/>
      <c r="DZ38" s="392"/>
      <c r="EA38" s="392"/>
      <c r="EB38" s="77"/>
      <c r="EC38" s="71"/>
      <c r="ED38" s="195"/>
      <c r="EE38" s="363"/>
      <c r="EF38" s="71"/>
      <c r="EG38" s="363"/>
      <c r="EH38" s="71"/>
      <c r="EI38" s="363"/>
      <c r="EJ38" s="71"/>
      <c r="EK38" s="195"/>
      <c r="EL38" s="71"/>
      <c r="EM38" s="195"/>
      <c r="EN38" s="163"/>
      <c r="EX38" s="292"/>
      <c r="EY38" s="292"/>
      <c r="EZ38" s="292"/>
      <c r="FA38" s="292"/>
      <c r="FB38" s="292"/>
      <c r="FC38" s="292"/>
      <c r="FD38" s="292"/>
      <c r="FE38" s="292"/>
      <c r="FF38" s="297"/>
      <c r="FG38" s="296"/>
      <c r="FI38" s="299"/>
      <c r="FJ38" s="298"/>
      <c r="FK38" s="295"/>
      <c r="FN38" s="15"/>
      <c r="FO38" s="15"/>
      <c r="FP38" s="300"/>
      <c r="FQ38" s="300"/>
      <c r="FR38" s="300"/>
      <c r="FS38" s="15"/>
    </row>
    <row r="39" spans="2:177" ht="16.5" thickBot="1" x14ac:dyDescent="0.3">
      <c r="B39" s="10"/>
      <c r="C39" s="10"/>
      <c r="D39" s="161" t="s">
        <v>168</v>
      </c>
      <c r="E39" s="289"/>
      <c r="F39" s="436"/>
      <c r="G39" s="437"/>
      <c r="H39" s="438"/>
      <c r="I39" s="64"/>
      <c r="J39" s="64"/>
      <c r="K39" s="86"/>
      <c r="L39" s="437"/>
      <c r="M39" s="72"/>
      <c r="N39" s="153"/>
      <c r="O39" s="439"/>
      <c r="P39" s="439"/>
      <c r="Q39" s="439"/>
      <c r="R39" s="439"/>
      <c r="S39" s="439"/>
      <c r="T39" s="439"/>
      <c r="U39" s="439"/>
      <c r="V39" s="439"/>
      <c r="W39" s="439"/>
      <c r="X39" s="65"/>
      <c r="Y39" s="65"/>
      <c r="Z39" s="65"/>
      <c r="AA39" s="65"/>
      <c r="AB39" s="65"/>
      <c r="AC39" s="65"/>
      <c r="AD39" s="65"/>
      <c r="AE39" s="65"/>
      <c r="AF39" s="65"/>
      <c r="AG39" s="440"/>
      <c r="AH39" s="440"/>
      <c r="AI39" s="440"/>
      <c r="AJ39" s="440"/>
      <c r="AK39" s="440"/>
      <c r="AL39" s="440"/>
      <c r="AM39" s="440"/>
      <c r="AN39" s="440"/>
      <c r="AO39" s="440"/>
      <c r="AP39" s="441"/>
      <c r="AQ39" s="441"/>
      <c r="AR39" s="441"/>
      <c r="AS39" s="441"/>
      <c r="AT39" s="441"/>
      <c r="AU39" s="441"/>
      <c r="AV39" s="441"/>
      <c r="AW39" s="441"/>
      <c r="AX39" s="441"/>
      <c r="AY39" s="442"/>
      <c r="AZ39" s="442"/>
      <c r="BA39" s="442"/>
      <c r="BB39" s="442"/>
      <c r="BC39" s="442"/>
      <c r="BD39" s="442"/>
      <c r="BE39" s="442"/>
      <c r="BF39" s="442"/>
      <c r="BG39" s="442"/>
      <c r="BH39" s="443"/>
      <c r="BI39" s="443"/>
      <c r="BJ39" s="443"/>
      <c r="BK39" s="443"/>
      <c r="BL39" s="443"/>
      <c r="BM39" s="443"/>
      <c r="BN39" s="443"/>
      <c r="BO39" s="443"/>
      <c r="BP39" s="443"/>
      <c r="BQ39" s="443"/>
      <c r="BR39" s="443"/>
      <c r="BS39" s="443"/>
      <c r="BT39" s="443"/>
      <c r="BU39" s="443"/>
      <c r="BV39" s="443"/>
      <c r="BW39" s="443"/>
      <c r="BX39" s="443"/>
      <c r="BY39" s="66"/>
      <c r="BZ39" s="443"/>
      <c r="CA39" s="443"/>
      <c r="CB39" s="443"/>
      <c r="CC39" s="443"/>
      <c r="CD39" s="67"/>
      <c r="CE39" s="169"/>
      <c r="CF39" s="67"/>
      <c r="CG39" s="67"/>
      <c r="CH39" s="67"/>
      <c r="CI39" s="68"/>
      <c r="CJ39" s="68"/>
      <c r="CK39" s="68"/>
      <c r="CL39" s="68"/>
      <c r="CM39" s="68"/>
      <c r="CN39" s="73"/>
      <c r="CO39" s="73"/>
      <c r="CP39" s="73"/>
      <c r="CQ39" s="73"/>
      <c r="CR39" s="69"/>
      <c r="CS39" s="69"/>
      <c r="CT39" s="69"/>
      <c r="CU39" s="69"/>
      <c r="CV39" s="69"/>
      <c r="CW39" s="69"/>
      <c r="CX39" s="74"/>
      <c r="CY39" s="74"/>
      <c r="CZ39" s="74"/>
      <c r="DA39" s="74"/>
      <c r="DB39" s="74"/>
      <c r="DC39" s="70"/>
      <c r="DD39" s="70"/>
      <c r="DE39" s="70"/>
      <c r="DF39" s="70"/>
      <c r="DG39" s="70"/>
      <c r="DH39" s="70"/>
      <c r="DI39" s="70"/>
      <c r="DJ39" s="70"/>
      <c r="DK39" s="70"/>
      <c r="DL39" s="70"/>
      <c r="DM39" s="69"/>
      <c r="DN39" s="69"/>
      <c r="DO39" s="69"/>
      <c r="DP39" s="69"/>
      <c r="DQ39" s="69"/>
      <c r="DR39" s="69"/>
      <c r="DS39" s="69"/>
      <c r="DT39" s="77"/>
      <c r="DU39" s="77"/>
      <c r="DV39" s="71"/>
      <c r="DW39" s="71"/>
      <c r="DX39" s="166"/>
      <c r="DY39" s="392"/>
      <c r="DZ39" s="392"/>
      <c r="EA39" s="392"/>
      <c r="EB39" s="77"/>
      <c r="EC39" s="71"/>
      <c r="ED39" s="195"/>
      <c r="EE39" s="363"/>
      <c r="EF39" s="71"/>
      <c r="EG39" s="363"/>
      <c r="EH39" s="71"/>
      <c r="EI39" s="363"/>
      <c r="EJ39" s="71"/>
      <c r="EK39" s="195"/>
      <c r="EL39" s="71"/>
      <c r="EM39" s="195"/>
      <c r="EN39" s="163"/>
      <c r="EX39" s="292"/>
      <c r="EY39" s="292"/>
      <c r="EZ39" s="292"/>
      <c r="FA39" s="292"/>
      <c r="FB39" s="292"/>
      <c r="FC39" s="292"/>
      <c r="FD39" s="292"/>
      <c r="FE39" s="292"/>
      <c r="FF39" s="297"/>
      <c r="FG39" s="296"/>
      <c r="FI39" s="299"/>
      <c r="FJ39" s="298"/>
      <c r="FK39" s="295"/>
      <c r="FN39" s="15"/>
      <c r="FO39" s="15"/>
      <c r="FP39" s="300"/>
      <c r="FQ39" s="300"/>
      <c r="FR39" s="300"/>
      <c r="FS39" s="15"/>
    </row>
    <row r="40" spans="2:177" ht="15.75" thickBot="1" x14ac:dyDescent="0.3">
      <c r="B40" s="10" t="s">
        <v>188</v>
      </c>
      <c r="C40" s="10"/>
      <c r="D40" s="142" t="s">
        <v>186</v>
      </c>
      <c r="E40" s="290">
        <v>1</v>
      </c>
      <c r="F40" s="393">
        <v>45809</v>
      </c>
      <c r="G40" s="394"/>
      <c r="H40" s="444" t="str" cm="1">
        <f t="array" aca="1" ref="H40" ca="1">_xll.BQL($B40, "px_last", "dates=" &amp; _xll.BQL.DATE($D$2))</f>
        <v>#N/A Connection</v>
      </c>
      <c r="I40" s="396">
        <v>645.02771755555568</v>
      </c>
      <c r="J40" s="25">
        <v>0</v>
      </c>
      <c r="K40" s="25">
        <v>0</v>
      </c>
      <c r="L40" s="396"/>
      <c r="M40" s="76">
        <f>K40+J40</f>
        <v>0</v>
      </c>
      <c r="N40" s="76" t="e">
        <f ca="1">I40*H40+M40+L40</f>
        <v>#VALUE!</v>
      </c>
      <c r="O40" s="396"/>
      <c r="P40" s="396"/>
      <c r="Q40" s="420">
        <v>56411</v>
      </c>
      <c r="R40" s="420">
        <v>53434</v>
      </c>
      <c r="S40" s="420">
        <v>62563.761249999996</v>
      </c>
      <c r="T40" s="420">
        <v>65935.143343749995</v>
      </c>
      <c r="U40" s="420">
        <v>69230.672844531247</v>
      </c>
      <c r="V40" s="420">
        <v>72702.350495371094</v>
      </c>
      <c r="W40" s="420">
        <v>76359.836579398921</v>
      </c>
      <c r="X40" s="21"/>
      <c r="Y40" s="21"/>
      <c r="Z40" s="21"/>
      <c r="AA40" s="21"/>
      <c r="AB40" s="21"/>
      <c r="AC40" s="21"/>
      <c r="AD40" s="21"/>
      <c r="AE40" s="21"/>
      <c r="AF40" s="21"/>
      <c r="AG40" s="417"/>
      <c r="AH40" s="417"/>
      <c r="AI40" s="396"/>
      <c r="AJ40" s="396"/>
      <c r="AK40" s="396"/>
      <c r="AL40" s="396"/>
      <c r="AM40" s="396"/>
      <c r="AN40" s="396"/>
      <c r="AO40" s="396"/>
      <c r="AP40" s="399"/>
      <c r="AQ40" s="399"/>
      <c r="AR40" s="399">
        <v>14.977270323566204</v>
      </c>
      <c r="AS40" s="445">
        <v>15.732464655255114</v>
      </c>
      <c r="AT40" s="445">
        <v>19.948806431374351</v>
      </c>
      <c r="AU40" s="445">
        <v>24.351433927846923</v>
      </c>
      <c r="AV40" s="445">
        <v>27.598444328460019</v>
      </c>
      <c r="AW40" s="445">
        <v>29.976042245849985</v>
      </c>
      <c r="AX40" s="445">
        <v>33.42645248873292</v>
      </c>
      <c r="AY40" s="399"/>
      <c r="AZ40" s="399"/>
      <c r="BA40" s="418">
        <f t="shared" ref="BA40:BG40" si="159">AR40</f>
        <v>14.977270323566204</v>
      </c>
      <c r="BB40" s="418">
        <f t="shared" si="159"/>
        <v>15.732464655255114</v>
      </c>
      <c r="BC40" s="418">
        <f t="shared" si="159"/>
        <v>19.948806431374351</v>
      </c>
      <c r="BD40" s="418">
        <f t="shared" si="159"/>
        <v>24.351433927846923</v>
      </c>
      <c r="BE40" s="418">
        <f t="shared" si="159"/>
        <v>27.598444328460019</v>
      </c>
      <c r="BF40" s="418">
        <f t="shared" si="159"/>
        <v>29.976042245849985</v>
      </c>
      <c r="BG40" s="418">
        <f t="shared" si="159"/>
        <v>33.42645248873292</v>
      </c>
      <c r="BH40" s="400"/>
      <c r="BI40" s="400" t="e">
        <f t="shared" ref="BI40:BN41" ca="1" si="160">$N40/R40</f>
        <v>#VALUE!</v>
      </c>
      <c r="BJ40" s="400" t="e">
        <f t="shared" ca="1" si="160"/>
        <v>#VALUE!</v>
      </c>
      <c r="BK40" s="400" t="e">
        <f t="shared" ca="1" si="160"/>
        <v>#VALUE!</v>
      </c>
      <c r="BL40" s="400" t="e">
        <f t="shared" ca="1" si="160"/>
        <v>#VALUE!</v>
      </c>
      <c r="BM40" s="400" t="e">
        <f t="shared" ca="1" si="160"/>
        <v>#VALUE!</v>
      </c>
      <c r="BN40" s="400" t="e">
        <f t="shared" ca="1" si="160"/>
        <v>#VALUE!</v>
      </c>
      <c r="BO40" s="401" t="str">
        <f ca="1">IFERROR($N40/AK40,"n/a")</f>
        <v>n/a</v>
      </c>
      <c r="BP40" s="401" t="str">
        <f ca="1">IFERROR($N40/AL40,"n/a")</f>
        <v>n/a</v>
      </c>
      <c r="BQ40" s="401" t="str">
        <f ca="1">IFERROR($N40/AM40,"n/a")</f>
        <v>n/a</v>
      </c>
      <c r="BR40" s="401" t="str">
        <f ca="1">IFERROR($N40/AN40,"n/a")</f>
        <v>n/a</v>
      </c>
      <c r="BS40" s="401" t="str">
        <f ca="1">IFERROR($N40/AO40,"n/a")</f>
        <v>n/a</v>
      </c>
      <c r="BT40" s="400" t="e">
        <f t="shared" ref="BT40:BX41" ca="1" si="161">$H40/AT40</f>
        <v>#VALUE!</v>
      </c>
      <c r="BU40" s="400" t="e">
        <f t="shared" ca="1" si="161"/>
        <v>#VALUE!</v>
      </c>
      <c r="BV40" s="400" t="e">
        <f t="shared" ca="1" si="161"/>
        <v>#VALUE!</v>
      </c>
      <c r="BW40" s="400" t="e">
        <f t="shared" ca="1" si="161"/>
        <v>#VALUE!</v>
      </c>
      <c r="BX40" s="400" t="e">
        <f t="shared" ca="1" si="161"/>
        <v>#VALUE!</v>
      </c>
      <c r="BY40" s="8" t="e">
        <f t="shared" ref="BY40:CC41" ca="1" si="162">$H40/BC40</f>
        <v>#VALUE!</v>
      </c>
      <c r="BZ40" s="486" t="e">
        <f t="shared" ca="1" si="162"/>
        <v>#VALUE!</v>
      </c>
      <c r="CA40" s="400" t="e">
        <f t="shared" ca="1" si="162"/>
        <v>#VALUE!</v>
      </c>
      <c r="CB40" s="400" t="e">
        <f t="shared" ca="1" si="162"/>
        <v>#VALUE!</v>
      </c>
      <c r="CC40" s="400" t="e">
        <f t="shared" ca="1" si="162"/>
        <v>#VALUE!</v>
      </c>
      <c r="CD40" s="12">
        <v>12</v>
      </c>
      <c r="CE40" s="167">
        <v>12</v>
      </c>
      <c r="CF40" s="12">
        <v>12</v>
      </c>
      <c r="CG40" s="12">
        <v>12</v>
      </c>
      <c r="CH40" s="82">
        <v>12</v>
      </c>
      <c r="CI40" s="46"/>
      <c r="CJ40" s="46"/>
      <c r="CK40" s="46"/>
      <c r="CL40" s="46"/>
      <c r="CM40" s="46"/>
      <c r="CN40" s="182">
        <f t="shared" ref="CN40:CQ41" si="163">CD40*BD40+CS40</f>
        <v>292.21720713416306</v>
      </c>
      <c r="CO40" s="182">
        <f t="shared" si="163"/>
        <v>331.18133194152023</v>
      </c>
      <c r="CP40" s="182">
        <f t="shared" si="163"/>
        <v>359.71250695019984</v>
      </c>
      <c r="CQ40" s="182">
        <f t="shared" si="163"/>
        <v>401.11742986479504</v>
      </c>
      <c r="CR40" s="7"/>
      <c r="CS40" s="7"/>
      <c r="CT40" s="7"/>
      <c r="CU40" s="7"/>
      <c r="CV40" s="7"/>
      <c r="CW40" s="7"/>
      <c r="CX40" s="41"/>
      <c r="CY40" s="41"/>
      <c r="CZ40" s="41"/>
      <c r="DA40" s="41"/>
      <c r="DB40" s="19"/>
      <c r="DC40" s="40">
        <v>570.04736133723407</v>
      </c>
      <c r="DD40" s="40">
        <v>523.90708050363105</v>
      </c>
      <c r="DE40" s="40">
        <v>492.26483340835745</v>
      </c>
      <c r="DF40" s="40">
        <v>464.10730103726547</v>
      </c>
      <c r="DG40" s="40">
        <v>438.03843933636563</v>
      </c>
      <c r="DH40" s="40"/>
      <c r="DI40" s="40"/>
      <c r="DJ40" s="40"/>
      <c r="DK40" s="40"/>
      <c r="DL40" s="40"/>
      <c r="DM40" s="7"/>
      <c r="DN40" s="7"/>
      <c r="DO40" s="183">
        <v>2.359809498382853</v>
      </c>
      <c r="DP40" s="183">
        <v>2.4502162955611593</v>
      </c>
      <c r="DQ40" s="183">
        <v>2.5058788922801756</v>
      </c>
      <c r="DR40" s="183">
        <v>2.5294375226671173</v>
      </c>
      <c r="DS40" s="183">
        <v>2.5474036860421361</v>
      </c>
      <c r="DT40" s="78" t="e">
        <f ca="1">_xlfn.RRI(DT$2,$H40,CN40+$DO40*$DT$2)</f>
        <v>#VALUE!</v>
      </c>
      <c r="DU40" s="78" t="e">
        <f ca="1">_xlfn.RRI(DU$2,$H40,CO40+$DO40*$DT$2+SUM($DP40:DP40))</f>
        <v>#VALUE!</v>
      </c>
      <c r="DV40" s="6" t="e">
        <f ca="1">_xlfn.RRI(DV$2,$H40,CP40+$DO40*$DT$2+SUM($DP40:DQ40))</f>
        <v>#VALUE!</v>
      </c>
      <c r="DW40" s="6" t="e">
        <f ca="1">_xlfn.RRI(DW$2,$H40,CQ40+$DO40*$DT$2+SUM($DP40:DR40))</f>
        <v>#VALUE!</v>
      </c>
      <c r="DX40" s="171" t="e">
        <f ca="1">SUM(CN40,$DO40:DO40)/$H40</f>
        <v>#VALUE!</v>
      </c>
      <c r="DY40" s="132" t="e">
        <f ca="1">SUM(CO40,$DO40:DP40)/$H40</f>
        <v>#VALUE!</v>
      </c>
      <c r="DZ40" s="132" t="e">
        <f ca="1">SUM(CP40,$DO40:DQ40)/$H40</f>
        <v>#VALUE!</v>
      </c>
      <c r="EA40" s="132" t="e">
        <f ca="1">SUM(CQ40,$DO40:DR40)/$H40</f>
        <v>#VALUE!</v>
      </c>
      <c r="EB40" s="78" cm="1">
        <f t="array" ref="EB40">_xll.BDP(""&amp;$B40&amp;"","CHG_PCT_1M")/100</f>
        <v>-4.3012430000000004E-2</v>
      </c>
      <c r="EC40" s="6" cm="1">
        <f t="array" ref="EC40">_xll.BDP(""&amp;$B40&amp;"","CHG_PCT_3M")/100</f>
        <v>-3.3988629999999999E-2</v>
      </c>
      <c r="ED40" s="194" cm="1">
        <f t="array" ref="ED40">_xll.BDP(""&amp;$B40&amp;"","CHG_PCT_6M")/100</f>
        <v>-0.21362590000000001</v>
      </c>
      <c r="EE40" s="363">
        <f ca="1">_xlfn.RRI(2+$DT$2,$DT$2*S40+(1-$DT$2)*T40,V40)</f>
        <v>5.0758093199094079E-2</v>
      </c>
      <c r="EF40" s="175">
        <f ca="1">EG40-EE40</f>
        <v>9.3042830317597858E-3</v>
      </c>
      <c r="EG40" s="363">
        <f ca="1">_xlfn.RRI(2+$DT$2,$DT$2*(BC40*DC40)+(1-$DT$2)*(BD40*DD40),(BF40*DF40))</f>
        <v>6.0062376230853864E-2</v>
      </c>
      <c r="EH40" s="6">
        <f ca="1">EI40-EG40</f>
        <v>7.0639708857253902E-2</v>
      </c>
      <c r="EI40" s="363">
        <f ca="1">ER40+EQ40</f>
        <v>0.13070208508810777</v>
      </c>
      <c r="EJ40" s="6" t="e">
        <f ca="1">EK40-EI40</f>
        <v>#VALUE!</v>
      </c>
      <c r="EK40" s="194" t="e">
        <f ca="1">DV40</f>
        <v>#VALUE!</v>
      </c>
      <c r="EL40" s="6">
        <f>_xlfn.RRI(3,AK40,AN40)</f>
        <v>0</v>
      </c>
      <c r="EM40" s="194">
        <f>_xlfn.RRI(3,BC40,BF40)</f>
        <v>0.14538755122481839</v>
      </c>
      <c r="EN40" s="163" cm="1">
        <f t="array" ref="EN40">_xll.BDP(B40,"AVG_DAILY_VALUE_TRADED_3M")/10^6</f>
        <v>888.07385599999998</v>
      </c>
      <c r="EQ40" s="361">
        <f ca="1">IFERROR(AVERAGE(DP40:DQ40)/H40,0)</f>
        <v>0</v>
      </c>
      <c r="ER40" s="361">
        <f ca="1">_xlfn.RRI(2+$DT$2,$DT$2*(BC40)+(1-$DT$2)*(BD40),(BF40))</f>
        <v>0.13070208508810777</v>
      </c>
      <c r="ES40" s="127">
        <f ca="1">ER40-EG40+EQ40</f>
        <v>7.0639708857253902E-2</v>
      </c>
      <c r="EX40" s="292"/>
      <c r="EY40" s="292"/>
      <c r="EZ40" s="292"/>
      <c r="FA40" s="292"/>
      <c r="FB40" s="292"/>
      <c r="FC40" s="292"/>
      <c r="FD40" s="292"/>
      <c r="FE40" s="292"/>
      <c r="FF40" s="296">
        <v>0.15</v>
      </c>
      <c r="FG40" s="296">
        <v>-0.15</v>
      </c>
      <c r="FH40" s="295">
        <f>FF40-FG40</f>
        <v>0.3</v>
      </c>
      <c r="FI40" s="298">
        <f>FT40/CF40-1</f>
        <v>8.3333333333333259E-2</v>
      </c>
      <c r="FJ40" s="298">
        <f>FU40/CF40-1</f>
        <v>-0.33333333333333337</v>
      </c>
      <c r="FK40" s="295">
        <f>FI40-FJ40</f>
        <v>0.41666666666666663</v>
      </c>
      <c r="FL40" s="15">
        <f>FF40+FG40</f>
        <v>0</v>
      </c>
      <c r="FM40" s="15">
        <f>FJ40+FI40</f>
        <v>-0.25000000000000011</v>
      </c>
      <c r="FN40" s="15" t="e">
        <f ca="1">EK40+FF40/3+FI40/3</f>
        <v>#VALUE!</v>
      </c>
      <c r="FO40" s="15" t="e">
        <f ca="1">EK40+FG40/3+FJ40/3</f>
        <v>#VALUE!</v>
      </c>
      <c r="FP40" s="300" t="e">
        <f ca="1">EK40+FL40/3+FM40/3</f>
        <v>#VALUE!</v>
      </c>
      <c r="FQ40" s="15" t="e">
        <f ca="1">EK40</f>
        <v>#VALUE!</v>
      </c>
      <c r="FR40" s="300" t="e">
        <f ca="1">FP40-FQ40</f>
        <v>#VALUE!</v>
      </c>
      <c r="FS40" s="15" t="e">
        <f ca="1">FN40-FO40</f>
        <v>#VALUE!</v>
      </c>
      <c r="FT40" s="294">
        <v>13</v>
      </c>
      <c r="FU40" s="294">
        <v>8</v>
      </c>
    </row>
    <row r="41" spans="2:177" x14ac:dyDescent="0.25">
      <c r="B41" s="10" t="s">
        <v>210</v>
      </c>
      <c r="C41" s="10"/>
      <c r="D41" s="142" t="s">
        <v>187</v>
      </c>
      <c r="E41" s="290">
        <v>1</v>
      </c>
      <c r="F41" s="393">
        <v>46139</v>
      </c>
      <c r="G41" s="394"/>
      <c r="H41" s="444" t="str" cm="1">
        <f t="array" aca="1" ref="H41" ca="1">_xll.BQL($B41, "px_last", "dates=" &amp; _xll.BQL.DATE($D$2))</f>
        <v>#N/A Connection</v>
      </c>
      <c r="I41" s="446">
        <v>216.63013698630135</v>
      </c>
      <c r="J41" s="59">
        <v>-2798</v>
      </c>
      <c r="K41" s="59">
        <v>15249</v>
      </c>
      <c r="L41" s="396"/>
      <c r="M41" s="80">
        <f>K41+J41</f>
        <v>12451</v>
      </c>
      <c r="N41" s="184" t="e">
        <f ca="1">I41*H41+M41+L41</f>
        <v>#VALUE!</v>
      </c>
      <c r="O41" s="446">
        <v>12479</v>
      </c>
      <c r="P41" s="446">
        <v>13376</v>
      </c>
      <c r="Q41" s="447">
        <v>15698</v>
      </c>
      <c r="R41" s="447">
        <v>17181</v>
      </c>
      <c r="S41" s="447">
        <v>17997.75423991619</v>
      </c>
      <c r="T41" s="447">
        <v>18981.819847379087</v>
      </c>
      <c r="U41" s="447">
        <v>20017.135073844478</v>
      </c>
      <c r="V41" s="447">
        <v>21106.284818834145</v>
      </c>
      <c r="W41" s="447">
        <v>22251.981449015017</v>
      </c>
      <c r="X41" s="313">
        <v>0.48</v>
      </c>
      <c r="Y41" s="313">
        <v>0.48</v>
      </c>
      <c r="Z41" s="313">
        <v>0.48</v>
      </c>
      <c r="AA41" s="313">
        <v>0.48</v>
      </c>
      <c r="AB41" s="313">
        <v>0.48</v>
      </c>
      <c r="AC41" s="313">
        <v>0.48</v>
      </c>
      <c r="AD41" s="313">
        <v>0.48</v>
      </c>
      <c r="AE41" s="313">
        <v>0.48</v>
      </c>
      <c r="AF41" s="313">
        <v>0.48</v>
      </c>
      <c r="AG41" s="417">
        <f t="shared" ref="AG41:AO41" si="164">X41*O41</f>
        <v>5989.92</v>
      </c>
      <c r="AH41" s="417">
        <f t="shared" si="164"/>
        <v>6420.48</v>
      </c>
      <c r="AI41" s="417">
        <f t="shared" si="164"/>
        <v>7535.04</v>
      </c>
      <c r="AJ41" s="417">
        <f t="shared" si="164"/>
        <v>8246.8799999999992</v>
      </c>
      <c r="AK41" s="417">
        <f t="shared" si="164"/>
        <v>8638.9220351597705</v>
      </c>
      <c r="AL41" s="417">
        <f t="shared" si="164"/>
        <v>9111.2735267419612</v>
      </c>
      <c r="AM41" s="417">
        <f t="shared" si="164"/>
        <v>9608.2248354453495</v>
      </c>
      <c r="AN41" s="417">
        <f t="shared" si="164"/>
        <v>10131.01671304039</v>
      </c>
      <c r="AO41" s="417">
        <f t="shared" si="164"/>
        <v>10680.951095527207</v>
      </c>
      <c r="AP41" s="412">
        <v>13.391181988742964</v>
      </c>
      <c r="AQ41" s="412">
        <v>14.141463414634146</v>
      </c>
      <c r="AR41" s="412">
        <v>15.604705882352942</v>
      </c>
      <c r="AS41" s="448">
        <v>17.081481760360358</v>
      </c>
      <c r="AT41" s="448">
        <v>19.260685159074111</v>
      </c>
      <c r="AU41" s="448">
        <v>22.130311396945057</v>
      </c>
      <c r="AV41" s="448">
        <v>25.20518776394821</v>
      </c>
      <c r="AW41" s="448">
        <v>28.526457452641594</v>
      </c>
      <c r="AX41" s="448">
        <v>32.114172919048045</v>
      </c>
      <c r="AY41" s="418">
        <f>AP41</f>
        <v>13.391181988742964</v>
      </c>
      <c r="AZ41" s="418">
        <f>AQ41</f>
        <v>14.141463414634146</v>
      </c>
      <c r="BA41" s="418">
        <f t="shared" ref="BA41:BG41" si="165">AR41</f>
        <v>15.604705882352942</v>
      </c>
      <c r="BB41" s="418">
        <f t="shared" si="165"/>
        <v>17.081481760360358</v>
      </c>
      <c r="BC41" s="418">
        <f t="shared" si="165"/>
        <v>19.260685159074111</v>
      </c>
      <c r="BD41" s="418">
        <f t="shared" si="165"/>
        <v>22.130311396945057</v>
      </c>
      <c r="BE41" s="418">
        <f t="shared" si="165"/>
        <v>25.20518776394821</v>
      </c>
      <c r="BF41" s="418">
        <f t="shared" si="165"/>
        <v>28.526457452641594</v>
      </c>
      <c r="BG41" s="418">
        <f t="shared" si="165"/>
        <v>32.114172919048045</v>
      </c>
      <c r="BH41" s="400" t="e">
        <f ca="1">$N41/Q41</f>
        <v>#VALUE!</v>
      </c>
      <c r="BI41" s="400" t="e">
        <f t="shared" ca="1" si="160"/>
        <v>#VALUE!</v>
      </c>
      <c r="BJ41" s="400" t="e">
        <f t="shared" ca="1" si="160"/>
        <v>#VALUE!</v>
      </c>
      <c r="BK41" s="400" t="e">
        <f t="shared" ca="1" si="160"/>
        <v>#VALUE!</v>
      </c>
      <c r="BL41" s="400" t="e">
        <f t="shared" ca="1" si="160"/>
        <v>#VALUE!</v>
      </c>
      <c r="BM41" s="400" t="e">
        <f t="shared" ca="1" si="160"/>
        <v>#VALUE!</v>
      </c>
      <c r="BN41" s="400" t="e">
        <f t="shared" ca="1" si="160"/>
        <v>#VALUE!</v>
      </c>
      <c r="BO41" s="422" t="e">
        <f t="shared" ref="BO41:BS43" ca="1" si="166">$N41/AK41</f>
        <v>#VALUE!</v>
      </c>
      <c r="BP41" s="400" t="e">
        <f t="shared" ca="1" si="166"/>
        <v>#VALUE!</v>
      </c>
      <c r="BQ41" s="400" t="e">
        <f t="shared" ca="1" si="166"/>
        <v>#VALUE!</v>
      </c>
      <c r="BR41" s="400" t="e">
        <f t="shared" ca="1" si="166"/>
        <v>#VALUE!</v>
      </c>
      <c r="BS41" s="400" t="e">
        <f t="shared" ca="1" si="166"/>
        <v>#VALUE!</v>
      </c>
      <c r="BT41" s="400" t="e">
        <f t="shared" ca="1" si="161"/>
        <v>#VALUE!</v>
      </c>
      <c r="BU41" s="400" t="e">
        <f t="shared" ca="1" si="161"/>
        <v>#VALUE!</v>
      </c>
      <c r="BV41" s="400" t="e">
        <f t="shared" ca="1" si="161"/>
        <v>#VALUE!</v>
      </c>
      <c r="BW41" s="400" t="e">
        <f t="shared" ca="1" si="161"/>
        <v>#VALUE!</v>
      </c>
      <c r="BX41" s="400" t="e">
        <f t="shared" ca="1" si="161"/>
        <v>#VALUE!</v>
      </c>
      <c r="BY41" s="8" t="e">
        <f t="shared" ca="1" si="162"/>
        <v>#VALUE!</v>
      </c>
      <c r="BZ41" s="400" t="e">
        <f t="shared" ca="1" si="162"/>
        <v>#VALUE!</v>
      </c>
      <c r="CA41" s="400" t="e">
        <f t="shared" ca="1" si="162"/>
        <v>#VALUE!</v>
      </c>
      <c r="CB41" s="400" t="e">
        <f t="shared" ca="1" si="162"/>
        <v>#VALUE!</v>
      </c>
      <c r="CC41" s="400" t="e">
        <f t="shared" ca="1" si="162"/>
        <v>#VALUE!</v>
      </c>
      <c r="CD41" s="319">
        <v>18</v>
      </c>
      <c r="CE41" s="287">
        <v>18</v>
      </c>
      <c r="CF41" s="319">
        <v>18</v>
      </c>
      <c r="CG41" s="319">
        <v>18</v>
      </c>
      <c r="CH41" s="319">
        <v>20</v>
      </c>
      <c r="CI41" s="46"/>
      <c r="CJ41" s="46"/>
      <c r="CK41" s="46"/>
      <c r="CL41" s="46"/>
      <c r="CM41" s="46"/>
      <c r="CN41" s="182">
        <f t="shared" si="163"/>
        <v>398.34560514501101</v>
      </c>
      <c r="CO41" s="182">
        <f t="shared" si="163"/>
        <v>453.69337975106777</v>
      </c>
      <c r="CP41" s="182">
        <f t="shared" si="163"/>
        <v>513.47623414754867</v>
      </c>
      <c r="CQ41" s="182">
        <f t="shared" si="163"/>
        <v>578.05511254286478</v>
      </c>
      <c r="CR41" s="7"/>
      <c r="CS41" s="7"/>
      <c r="CT41" s="7"/>
      <c r="CU41" s="7"/>
      <c r="CV41" s="7"/>
      <c r="CW41" s="7"/>
      <c r="CX41" s="41"/>
      <c r="CY41" s="41"/>
      <c r="CZ41" s="41"/>
      <c r="DA41" s="41"/>
      <c r="DB41" s="19"/>
      <c r="DC41" s="60">
        <v>210.03210601024631</v>
      </c>
      <c r="DD41" s="60">
        <v>199.47985647335042</v>
      </c>
      <c r="DE41" s="60">
        <v>189.20880423960901</v>
      </c>
      <c r="DF41" s="60">
        <v>179.58404845672956</v>
      </c>
      <c r="DG41" s="60">
        <v>170.48807407729049</v>
      </c>
      <c r="DH41" s="40"/>
      <c r="DI41" s="40"/>
      <c r="DJ41" s="40"/>
      <c r="DK41" s="40"/>
      <c r="DL41" s="40"/>
      <c r="DM41" s="7"/>
      <c r="DN41" s="7"/>
      <c r="DO41" s="320">
        <v>3.0487447831035794</v>
      </c>
      <c r="DP41" s="320">
        <v>3.2011820222587586</v>
      </c>
      <c r="DQ41" s="320">
        <v>3.3612411233716966</v>
      </c>
      <c r="DR41" s="320">
        <v>3.5293031795402814</v>
      </c>
      <c r="DS41" s="320">
        <v>3.7057683385172955</v>
      </c>
      <c r="DT41" s="78" t="e">
        <f ca="1">_xlfn.RRI(DT$2,$H41,CN41+$DO41*$DT$2)</f>
        <v>#VALUE!</v>
      </c>
      <c r="DU41" s="78" t="e">
        <f ca="1">_xlfn.RRI(DU$2,$H41,CO41+$DO41*$DT$2+SUM($DP41:DP41))</f>
        <v>#VALUE!</v>
      </c>
      <c r="DV41" s="6" t="e">
        <f ca="1">_xlfn.RRI(DV$2,$H41,CP41+$DO41*$DT$2+SUM($DP41:DQ41))</f>
        <v>#VALUE!</v>
      </c>
      <c r="DW41" s="6" t="e">
        <f ca="1">_xlfn.RRI(DW$2,$H41,CQ41+$DO41*$DT$2+SUM($DP41:DR41))</f>
        <v>#VALUE!</v>
      </c>
      <c r="DX41" s="171" t="e">
        <f ca="1">SUM(CN41,$DO41:DO41)/$H41</f>
        <v>#VALUE!</v>
      </c>
      <c r="DY41" s="132" t="e">
        <f ca="1">SUM(CO41,$DO41:DP41)/$H41</f>
        <v>#VALUE!</v>
      </c>
      <c r="DZ41" s="132" t="e">
        <f ca="1">SUM(CP41,$DO41:DQ41)/$H41</f>
        <v>#VALUE!</v>
      </c>
      <c r="EA41" s="132" t="e">
        <f ca="1">SUM(CQ41,$DO41:DR41)/$H41</f>
        <v>#VALUE!</v>
      </c>
      <c r="EB41" s="78" cm="1">
        <f t="array" ref="EB41">_xll.BDP(""&amp;$B41&amp;"","CHG_PCT_1M")/100</f>
        <v>4.1977019999999997E-2</v>
      </c>
      <c r="EC41" s="6" cm="1">
        <f t="array" ref="EC41">_xll.BDP(""&amp;$B41&amp;"","CHG_PCT_3M")/100</f>
        <v>-4.3100430000000002E-2</v>
      </c>
      <c r="ED41" s="194" cm="1">
        <f t="array" ref="ED41">_xll.BDP(""&amp;$B41&amp;"","CHG_PCT_6M")/100</f>
        <v>-5.0875139999999999E-2</v>
      </c>
      <c r="EE41" s="363">
        <f ca="1">_xlfn.RRI(2+$DT$2,$DT$2*S41+(1-$DT$2)*T41,V41)</f>
        <v>5.4376216286044388E-2</v>
      </c>
      <c r="EF41" s="175">
        <f ca="1">EG41-EE41</f>
        <v>2.5516894382864974E-2</v>
      </c>
      <c r="EG41" s="363">
        <f ca="1">_xlfn.RRI(2+$DT$2,$DT$2*(BC41*DC41)+(1-$DT$2)*(BD41*DD41),(BF41*DF41))</f>
        <v>7.9893110668909362E-2</v>
      </c>
      <c r="EH41" s="6">
        <f ca="1">EI41-EG41</f>
        <v>5.7360634945655686E-2</v>
      </c>
      <c r="EI41" s="363">
        <f ca="1">ER41+EQ41</f>
        <v>0.13725374561456505</v>
      </c>
      <c r="EJ41" s="6" t="e">
        <f ca="1">EK41-EI41</f>
        <v>#VALUE!</v>
      </c>
      <c r="EK41" s="194" t="e">
        <f ca="1">DV41</f>
        <v>#VALUE!</v>
      </c>
      <c r="EL41" s="6">
        <f>_xlfn.RRI(3,AK41,AN41)</f>
        <v>5.4543483685594474E-2</v>
      </c>
      <c r="EM41" s="194">
        <f>_xlfn.RRI(3,BC41,BF41)</f>
        <v>0.13987887047550296</v>
      </c>
      <c r="EN41" s="163" cm="1">
        <f t="array" ref="EN41">_xll.BDP(B41,"AVG_DAILY_VALUE_TRADED_3M")/10^6</f>
        <v>451.28924799999999</v>
      </c>
      <c r="EQ41" s="361">
        <f ca="1">IFERROR(AVERAGE(DP41:DQ41)/H41,0)</f>
        <v>0</v>
      </c>
      <c r="ER41" s="361">
        <f ca="1">_xlfn.RRI(2+$DT$2,$DT$2*(BC41)+(1-$DT$2)*(BD41),(BF41))</f>
        <v>0.13725374561456505</v>
      </c>
      <c r="ES41" s="127">
        <f ca="1">ER41-EG41+EQ41</f>
        <v>5.7360634945655686E-2</v>
      </c>
      <c r="EX41" s="292"/>
      <c r="EY41" s="292"/>
      <c r="EZ41" s="292"/>
      <c r="FA41" s="292"/>
      <c r="FB41" s="292"/>
      <c r="FC41" s="292"/>
      <c r="FD41" s="292"/>
      <c r="FE41" s="292"/>
      <c r="FF41" s="296">
        <v>0.1</v>
      </c>
      <c r="FG41" s="296">
        <v>-0.1</v>
      </c>
      <c r="FH41" s="295">
        <f>FF41-FG41</f>
        <v>0.2</v>
      </c>
      <c r="FI41" s="298">
        <f>FT41/CF41-1</f>
        <v>0.22222222222222232</v>
      </c>
      <c r="FJ41" s="298">
        <f>FU41/CF41-1</f>
        <v>-0.16666666666666663</v>
      </c>
      <c r="FK41" s="295">
        <f>FI41-FJ41</f>
        <v>0.38888888888888895</v>
      </c>
      <c r="FL41" s="15">
        <f>FF41+FG41</f>
        <v>0</v>
      </c>
      <c r="FM41" s="15">
        <f>FJ41+FI41</f>
        <v>5.5555555555555691E-2</v>
      </c>
      <c r="FN41" s="15" t="e">
        <f ca="1">EK41+FF41/3+FI41/3</f>
        <v>#VALUE!</v>
      </c>
      <c r="FO41" s="15" t="e">
        <f ca="1">EK41+FG41/3+FJ41/3</f>
        <v>#VALUE!</v>
      </c>
      <c r="FP41" s="300" t="e">
        <f ca="1">EK41+FL41/3+FM41/3</f>
        <v>#VALUE!</v>
      </c>
      <c r="FQ41" s="15" t="e">
        <f ca="1">EK41</f>
        <v>#VALUE!</v>
      </c>
      <c r="FR41" s="300" t="e">
        <f ca="1">FP41-FQ41</f>
        <v>#VALUE!</v>
      </c>
      <c r="FS41" s="15" t="e">
        <f ca="1">FN41-FO41</f>
        <v>#VALUE!</v>
      </c>
      <c r="FT41" s="294">
        <v>22</v>
      </c>
      <c r="FU41" s="294">
        <v>15</v>
      </c>
    </row>
    <row r="42" spans="2:177" x14ac:dyDescent="0.25">
      <c r="B42" s="10" t="s">
        <v>181</v>
      </c>
      <c r="C42" s="10"/>
      <c r="D42" s="142" t="s">
        <v>169</v>
      </c>
      <c r="E42" s="290">
        <v>1</v>
      </c>
      <c r="F42" s="393">
        <v>46120</v>
      </c>
      <c r="G42" s="394"/>
      <c r="H42" s="449" t="str" cm="1">
        <f t="array" aca="1" ref="H42" ca="1">_xll.BQL($B42, "px_last", "dates=" &amp; _xll.BQL.DATE($D$2))</f>
        <v>#N/A Connection</v>
      </c>
      <c r="I42" s="396">
        <v>236.15899999999999</v>
      </c>
      <c r="J42" s="25">
        <v>-13179</v>
      </c>
      <c r="K42" s="396">
        <v>97935</v>
      </c>
      <c r="L42" s="396"/>
      <c r="M42" s="76">
        <f>K42+J42</f>
        <v>84756</v>
      </c>
      <c r="N42" s="76" t="e">
        <f ca="1">I42*H42+M42+L42</f>
        <v>#VALUE!</v>
      </c>
      <c r="O42" s="396"/>
      <c r="P42" s="396"/>
      <c r="Q42" s="420">
        <v>167106</v>
      </c>
      <c r="R42" s="420">
        <v>288458.39647751173</v>
      </c>
      <c r="S42" s="420">
        <v>276504.65492707555</v>
      </c>
      <c r="T42" s="420">
        <v>279123.69344760955</v>
      </c>
      <c r="U42" s="420">
        <v>285244.74318328482</v>
      </c>
      <c r="V42" s="420">
        <v>291551.26951984334</v>
      </c>
      <c r="W42" s="420">
        <v>298050.43131547008</v>
      </c>
      <c r="X42" s="21"/>
      <c r="Y42" s="21"/>
      <c r="Z42" s="21"/>
      <c r="AA42" s="21">
        <v>0.27823739377824797</v>
      </c>
      <c r="AB42" s="21">
        <v>0.28499666833630255</v>
      </c>
      <c r="AC42" s="21">
        <v>0.28741231826357239</v>
      </c>
      <c r="AD42" s="21">
        <v>0.28975498611949485</v>
      </c>
      <c r="AE42" s="21">
        <v>0.29218037746140962</v>
      </c>
      <c r="AF42" s="21">
        <v>0.29469035824384504</v>
      </c>
      <c r="AG42" s="417"/>
      <c r="AH42" s="417"/>
      <c r="AI42" s="396">
        <v>42974</v>
      </c>
      <c r="AJ42" s="396">
        <v>80259.912449355412</v>
      </c>
      <c r="AK42" s="396">
        <v>78802.905433695531</v>
      </c>
      <c r="AL42" s="396">
        <v>80223.587816068175</v>
      </c>
      <c r="AM42" s="396">
        <v>82651.086601731571</v>
      </c>
      <c r="AN42" s="396">
        <v>85185.559977660989</v>
      </c>
      <c r="AO42" s="396">
        <v>87832.588379088411</v>
      </c>
      <c r="AP42" s="399"/>
      <c r="AQ42" s="399"/>
      <c r="AR42" s="399"/>
      <c r="AS42" s="445">
        <v>50.906380870515207</v>
      </c>
      <c r="AT42" s="445">
        <v>67.813728300411768</v>
      </c>
      <c r="AU42" s="445">
        <v>92.547674767935817</v>
      </c>
      <c r="AV42" s="445">
        <v>107.11499167827235</v>
      </c>
      <c r="AW42" s="445">
        <v>116.54704726071415</v>
      </c>
      <c r="AX42" s="445">
        <v>127.07195372577763</v>
      </c>
      <c r="AY42" s="399"/>
      <c r="AZ42" s="399"/>
      <c r="BA42" s="399"/>
      <c r="BB42" s="445">
        <v>50.906380870515207</v>
      </c>
      <c r="BC42" s="445">
        <v>67.813728300411768</v>
      </c>
      <c r="BD42" s="445">
        <v>92.547674767935817</v>
      </c>
      <c r="BE42" s="445">
        <v>107.11499167827235</v>
      </c>
      <c r="BF42" s="445">
        <v>116.54704726071415</v>
      </c>
      <c r="BG42" s="445">
        <v>127.07195372577763</v>
      </c>
      <c r="BH42" s="400"/>
      <c r="BI42" s="400" t="e">
        <f t="shared" ref="BI42:BN44" ca="1" si="167">$N42/R42</f>
        <v>#VALUE!</v>
      </c>
      <c r="BJ42" s="400" t="e">
        <f t="shared" ca="1" si="167"/>
        <v>#VALUE!</v>
      </c>
      <c r="BK42" s="400" t="e">
        <f t="shared" ca="1" si="167"/>
        <v>#VALUE!</v>
      </c>
      <c r="BL42" s="400" t="e">
        <f t="shared" ca="1" si="167"/>
        <v>#VALUE!</v>
      </c>
      <c r="BM42" s="400" t="e">
        <f t="shared" ca="1" si="167"/>
        <v>#VALUE!</v>
      </c>
      <c r="BN42" s="400" t="e">
        <f t="shared" ca="1" si="167"/>
        <v>#VALUE!</v>
      </c>
      <c r="BO42" s="400" t="e">
        <f t="shared" ca="1" si="166"/>
        <v>#VALUE!</v>
      </c>
      <c r="BP42" s="400" t="e">
        <f t="shared" ca="1" si="166"/>
        <v>#VALUE!</v>
      </c>
      <c r="BQ42" s="400" t="e">
        <f t="shared" ca="1" si="166"/>
        <v>#VALUE!</v>
      </c>
      <c r="BR42" s="400" t="e">
        <f t="shared" ca="1" si="166"/>
        <v>#VALUE!</v>
      </c>
      <c r="BS42" s="400" t="e">
        <f t="shared" ca="1" si="166"/>
        <v>#VALUE!</v>
      </c>
      <c r="BT42" s="400" t="e">
        <f t="shared" ref="BT42:BX44" ca="1" si="168">$H42/AT42</f>
        <v>#VALUE!</v>
      </c>
      <c r="BU42" s="400" t="e">
        <f t="shared" ca="1" si="168"/>
        <v>#VALUE!</v>
      </c>
      <c r="BV42" s="400" t="e">
        <f t="shared" ca="1" si="168"/>
        <v>#VALUE!</v>
      </c>
      <c r="BW42" s="400" t="e">
        <f t="shared" ca="1" si="168"/>
        <v>#VALUE!</v>
      </c>
      <c r="BX42" s="400" t="e">
        <f t="shared" ca="1" si="168"/>
        <v>#VALUE!</v>
      </c>
      <c r="BY42" s="8" t="e">
        <f t="shared" ref="BY42:CC44" ca="1" si="169">$H42/BC42</f>
        <v>#VALUE!</v>
      </c>
      <c r="BZ42" s="400" t="e">
        <f t="shared" ca="1" si="169"/>
        <v>#VALUE!</v>
      </c>
      <c r="CA42" s="400" t="e">
        <f t="shared" ca="1" si="169"/>
        <v>#VALUE!</v>
      </c>
      <c r="CB42" s="400" t="e">
        <f t="shared" ca="1" si="169"/>
        <v>#VALUE!</v>
      </c>
      <c r="CC42" s="400" t="e">
        <f t="shared" ca="1" si="169"/>
        <v>#VALUE!</v>
      </c>
      <c r="CD42" s="12">
        <v>21</v>
      </c>
      <c r="CE42" s="167">
        <v>21</v>
      </c>
      <c r="CF42" s="12">
        <v>21</v>
      </c>
      <c r="CG42" s="12">
        <v>21</v>
      </c>
      <c r="CH42" s="82">
        <v>22</v>
      </c>
      <c r="CI42" s="46"/>
      <c r="CJ42" s="46"/>
      <c r="CK42" s="46"/>
      <c r="CL42" s="46"/>
      <c r="CM42" s="46"/>
      <c r="CN42" s="182">
        <f t="shared" ref="CN42:CQ42" si="170">CD42*BD42+CS42</f>
        <v>1943.5011701266521</v>
      </c>
      <c r="CO42" s="182">
        <f t="shared" si="170"/>
        <v>2249.4148252437194</v>
      </c>
      <c r="CP42" s="182">
        <f t="shared" si="170"/>
        <v>2447.4879924749971</v>
      </c>
      <c r="CQ42" s="182">
        <f t="shared" si="170"/>
        <v>2668.5110282413302</v>
      </c>
      <c r="CR42" s="7"/>
      <c r="CS42" s="7"/>
      <c r="CT42" s="7"/>
      <c r="CU42" s="7"/>
      <c r="CV42" s="7"/>
      <c r="CW42" s="7"/>
      <c r="CX42" s="41"/>
      <c r="CY42" s="41"/>
      <c r="CZ42" s="41"/>
      <c r="DA42" s="41"/>
      <c r="DB42" s="19"/>
      <c r="DC42" s="40">
        <v>236.15899999999999</v>
      </c>
      <c r="DD42" s="40">
        <v>228.54085992933221</v>
      </c>
      <c r="DE42" s="40">
        <v>217.49764362621156</v>
      </c>
      <c r="DF42" s="40">
        <v>207.86395143347687</v>
      </c>
      <c r="DG42" s="40">
        <v>198.71779015583047</v>
      </c>
      <c r="DH42" s="40"/>
      <c r="DI42" s="40"/>
      <c r="DJ42" s="40"/>
      <c r="DK42" s="40"/>
      <c r="DL42" s="40"/>
      <c r="DM42" s="7"/>
      <c r="DN42" s="7"/>
      <c r="DO42" s="183">
        <v>7.3500000000000005</v>
      </c>
      <c r="DP42" s="183">
        <v>7.7175000000000011</v>
      </c>
      <c r="DQ42" s="183">
        <v>8.1033750000000015</v>
      </c>
      <c r="DR42" s="183">
        <v>8.5085437500000012</v>
      </c>
      <c r="DS42" s="183">
        <v>8.9339709375000016</v>
      </c>
      <c r="DT42" s="78" t="e">
        <f ca="1">_xlfn.RRI(DT$2,$H42,CN42+$DO42*$DT$2)</f>
        <v>#VALUE!</v>
      </c>
      <c r="DU42" s="78" t="e">
        <f ca="1">_xlfn.RRI(DU$2,$H42,CO42+$DO42*$DT$2+SUM($DP42:DP42))</f>
        <v>#VALUE!</v>
      </c>
      <c r="DV42" s="6" t="e">
        <f ca="1">_xlfn.RRI(DV$2,$H42,CP42+$DO42*$DT$2+SUM($DP42:DQ42))</f>
        <v>#VALUE!</v>
      </c>
      <c r="DW42" s="6" t="e">
        <f ca="1">_xlfn.RRI(DW$2,$H42,CQ42+$DO42*$DT$2+SUM($DP42:DR42))</f>
        <v>#VALUE!</v>
      </c>
      <c r="DX42" s="171" t="e">
        <f ca="1">SUM(CN42,$DO42:DO42)/$H42</f>
        <v>#VALUE!</v>
      </c>
      <c r="DY42" s="132" t="e">
        <f ca="1">SUM(CO42,$DO42:DP42)/$H42</f>
        <v>#VALUE!</v>
      </c>
      <c r="DZ42" s="132" t="e">
        <f ca="1">SUM(CP42,$DO42:DQ42)/$H42</f>
        <v>#VALUE!</v>
      </c>
      <c r="EA42" s="132" t="e">
        <f ca="1">SUM(CQ42,$DO42:DR42)/$H42</f>
        <v>#VALUE!</v>
      </c>
      <c r="EB42" s="78" cm="1">
        <f t="array" ref="EB42">_xll.BDP(""&amp;$B42&amp;"","CHG_PCT_1M")/100</f>
        <v>5.1010270000000003E-2</v>
      </c>
      <c r="EC42" s="6" cm="1">
        <f t="array" ref="EC42">_xll.BDP(""&amp;$B42&amp;"","CHG_PCT_3M")/100</f>
        <v>-4.138973E-2</v>
      </c>
      <c r="ED42" s="194" cm="1">
        <f t="array" ref="ED42">_xll.BDP(""&amp;$B42&amp;"","CHG_PCT_6M")/100</f>
        <v>2.3548390000000002E-2</v>
      </c>
      <c r="EE42" s="363">
        <f ca="1">_xlfn.RRI(2+$DT$2,$DT$2*S42+(1-$DT$2)*T42,V42)</f>
        <v>1.9261191136356048E-2</v>
      </c>
      <c r="EF42" s="175">
        <f ca="1">EG42-EE42</f>
        <v>9.7068413069420822E-2</v>
      </c>
      <c r="EG42" s="363">
        <f ca="1">_xlfn.RRI(2+$DT$2,$DT$2*(BC42*DC42)+(1-$DT$2)*(BD42*DD42),(BF42*DF42))</f>
        <v>0.11632960420577687</v>
      </c>
      <c r="EH42" s="6">
        <f ca="1">EI42-EG42</f>
        <v>4.9376859002572271E-2</v>
      </c>
      <c r="EI42" s="363">
        <f ca="1">ER42+EQ42</f>
        <v>0.16570646320834914</v>
      </c>
      <c r="EJ42" s="6" t="e">
        <f ca="1">EK42-EI42</f>
        <v>#VALUE!</v>
      </c>
      <c r="EK42" s="194" t="e">
        <f ca="1">DV42</f>
        <v>#VALUE!</v>
      </c>
      <c r="EL42" s="6">
        <f>_xlfn.RRI(3,AK42,AN42)</f>
        <v>2.6300603280629664E-2</v>
      </c>
      <c r="EM42" s="194">
        <f>_xlfn.RRI(3,BC42,BF42)</f>
        <v>0.19782824898128881</v>
      </c>
      <c r="EN42" s="163" cm="1">
        <f t="array" ref="EN42">_xll.BDP(B42,"AVG_DAILY_VALUE_TRADED_3M")/10^6</f>
        <v>618.70000000000005</v>
      </c>
      <c r="EQ42" s="361">
        <f ca="1">IFERROR(AVERAGE(DP42:DQ42)/H42,0)</f>
        <v>0</v>
      </c>
      <c r="ER42" s="361">
        <f ca="1">_xlfn.RRI(2+$DT$2,$DT$2*(BC42)+(1-$DT$2)*(BD42),(BF42))</f>
        <v>0.16570646320834914</v>
      </c>
      <c r="ES42" s="127">
        <f ca="1">ER42-EG42+EQ42</f>
        <v>4.9376859002572271E-2</v>
      </c>
      <c r="EX42" s="359" cm="1">
        <f t="array" ref="EX42">_xll.BQL("DSV DC Equity", "IS_COMP_EPS_ADJUSTED_OLD", "FPT=A", "FPO=1A", "ACT_EST_MAPPING=PRECISE", "FS=MRC", "CURRENCY=DKK", "XLFILL=b")</f>
        <v>62.582173913043469</v>
      </c>
      <c r="EY42" s="359" cm="1">
        <f t="array" ref="EY42">_xll.BQL("DSV DC Equity", "IS_COMP_EPS_ADJUSTED_OLD", "FPT=A", "FPO=2A", "ACT_EST_MAPPING=PRECISE", "FS=MRC", "CURRENCY=DKK", "XLFILL=b")</f>
        <v>85.020869565217396</v>
      </c>
      <c r="EZ42" s="359" cm="1">
        <f t="array" ref="EZ42">_xll.BQL("DSV DC Equity", "IS_COMP_EPS_ADJUSTED_OLD", "FPT=A", "FPO=3A", "ACT_EST_MAPPING=PRECISE", "FS=MRC", "CURRENCY=DKK", "XLFILL=b")</f>
        <v>101.14666666666666</v>
      </c>
      <c r="FA42" s="359" cm="1">
        <f t="array" ref="FA42">_xll.BQL("DSV DC Equity", "IS_COMP_EPS_ADJUSTED_OLD", "FPT=A", "FPO=4A", "ACT_EST_MAPPING=PRECISE", "FS=MRC", "CURRENCY=DKK", "XLFILL=b")</f>
        <v>121.25333333333333</v>
      </c>
      <c r="FB42" s="360">
        <f>BC42/EX42-1</f>
        <v>8.3594960996999257E-2</v>
      </c>
      <c r="FC42" s="360">
        <f>BD42/EY42-1</f>
        <v>8.8528913444537283E-2</v>
      </c>
      <c r="FD42" s="360">
        <f>BE42/EZ42-1</f>
        <v>5.9006640636755314E-2</v>
      </c>
      <c r="FE42" s="360">
        <f>BF42/FA42-1</f>
        <v>-3.8813663453533986E-2</v>
      </c>
      <c r="FF42" s="296">
        <v>0.25</v>
      </c>
      <c r="FG42" s="296">
        <v>-0.15</v>
      </c>
      <c r="FH42" s="295">
        <f>FF42-FG42</f>
        <v>0.4</v>
      </c>
      <c r="FI42" s="298">
        <f>FT42/CF42-1</f>
        <v>0.23809523809523814</v>
      </c>
      <c r="FJ42" s="298">
        <f>FU42/CF42-1</f>
        <v>-0.23809523809523814</v>
      </c>
      <c r="FK42" s="295">
        <f>FI42-FJ42</f>
        <v>0.47619047619047628</v>
      </c>
      <c r="FL42" s="15">
        <f>FF42+FG42</f>
        <v>0.1</v>
      </c>
      <c r="FM42" s="15">
        <f>FJ42+FI42</f>
        <v>0</v>
      </c>
      <c r="FN42" s="15" t="e">
        <f ca="1">EK42+FF42/3+FI42/3</f>
        <v>#VALUE!</v>
      </c>
      <c r="FO42" s="15" t="e">
        <f ca="1">EK42+FG42/3+FJ42/3</f>
        <v>#VALUE!</v>
      </c>
      <c r="FP42" s="300" t="e">
        <f ca="1">EK42+FL42/3+FM42/3</f>
        <v>#VALUE!</v>
      </c>
      <c r="FQ42" s="15" t="e">
        <f ca="1">EK42</f>
        <v>#VALUE!</v>
      </c>
      <c r="FR42" s="300" t="e">
        <f ca="1">FP42-FQ42</f>
        <v>#VALUE!</v>
      </c>
      <c r="FS42" s="15" t="e">
        <f ca="1">FN42-FO42</f>
        <v>#VALUE!</v>
      </c>
      <c r="FT42" s="294">
        <v>26</v>
      </c>
      <c r="FU42" s="294">
        <v>16</v>
      </c>
    </row>
    <row r="43" spans="2:177" x14ac:dyDescent="0.25">
      <c r="B43" s="10" t="s">
        <v>177</v>
      </c>
      <c r="C43" s="10"/>
      <c r="D43" s="38" t="s">
        <v>159</v>
      </c>
      <c r="E43" s="392"/>
      <c r="F43" s="393">
        <v>46119</v>
      </c>
      <c r="G43" s="394"/>
      <c r="H43" s="411" t="str" cm="1">
        <f t="array" aca="1" ref="H43" ca="1">_xll.BQL($B43, "px_last", "dates=" &amp; _xll.BQL.DATE($D$2))</f>
        <v>#N/A Connection</v>
      </c>
      <c r="I43" s="396">
        <v>443.83499999999998</v>
      </c>
      <c r="J43" s="25">
        <v>-2312</v>
      </c>
      <c r="K43" s="396">
        <v>9042</v>
      </c>
      <c r="L43" s="396"/>
      <c r="M43" s="76">
        <f>K43+J43</f>
        <v>6730</v>
      </c>
      <c r="N43" s="76" t="e">
        <f ca="1">I43*H43+M43+L43</f>
        <v>#VALUE!</v>
      </c>
      <c r="O43" s="396">
        <v>8080</v>
      </c>
      <c r="P43" s="396">
        <v>8544</v>
      </c>
      <c r="Q43" s="396">
        <v>9256</v>
      </c>
      <c r="R43" s="396">
        <v>9467</v>
      </c>
      <c r="S43" s="396">
        <v>9854.4734482049607</v>
      </c>
      <c r="T43" s="396">
        <v>10398.411332757769</v>
      </c>
      <c r="U43" s="396">
        <v>11056.024870237046</v>
      </c>
      <c r="V43" s="396">
        <v>11971.287497969332</v>
      </c>
      <c r="W43" s="396">
        <v>13027.291673030672</v>
      </c>
      <c r="X43" s="21">
        <v>0.69801980198019797</v>
      </c>
      <c r="Y43" s="21">
        <v>0.70177902621722843</v>
      </c>
      <c r="Z43" s="21">
        <v>0.70678478824546243</v>
      </c>
      <c r="AA43" s="21">
        <v>0.71934086827928589</v>
      </c>
      <c r="AB43" s="21">
        <v>0.72054637150066392</v>
      </c>
      <c r="AC43" s="21">
        <v>0.72208708227518992</v>
      </c>
      <c r="AD43" s="21">
        <v>0.72374734559603282</v>
      </c>
      <c r="AE43" s="21">
        <v>0.72575448755622696</v>
      </c>
      <c r="AF43" s="21">
        <v>0.72771985096481107</v>
      </c>
      <c r="AG43" s="417">
        <f t="shared" ref="AG43:AO43" si="171">X43*O43</f>
        <v>5640</v>
      </c>
      <c r="AH43" s="417">
        <f t="shared" si="171"/>
        <v>5996</v>
      </c>
      <c r="AI43" s="417">
        <f t="shared" si="171"/>
        <v>6542</v>
      </c>
      <c r="AJ43" s="417">
        <f t="shared" si="171"/>
        <v>6810</v>
      </c>
      <c r="AK43" s="417">
        <f t="shared" si="171"/>
        <v>7100.6050861537205</v>
      </c>
      <c r="AL43" s="417">
        <f t="shared" si="171"/>
        <v>7508.5584995683266</v>
      </c>
      <c r="AM43" s="417">
        <f t="shared" si="171"/>
        <v>8001.7686526777852</v>
      </c>
      <c r="AN43" s="417">
        <f t="shared" si="171"/>
        <v>8688.2156234769991</v>
      </c>
      <c r="AO43" s="417">
        <f t="shared" si="171"/>
        <v>9480.2187547730045</v>
      </c>
      <c r="AP43" s="399">
        <v>4.883233946660714</v>
      </c>
      <c r="AQ43" s="399">
        <v>5.3147306943543153</v>
      </c>
      <c r="AR43" s="399">
        <v>5.9212840809146874</v>
      </c>
      <c r="AS43" s="399">
        <v>6.4145459461286292</v>
      </c>
      <c r="AT43" s="399">
        <v>6.6244047180360681</v>
      </c>
      <c r="AU43" s="399">
        <v>7.2631675260413004</v>
      </c>
      <c r="AV43" s="399">
        <v>8.0798036104178514</v>
      </c>
      <c r="AW43" s="399">
        <v>9.1971697927041181</v>
      </c>
      <c r="AX43" s="399">
        <v>10.515168730382952</v>
      </c>
      <c r="AY43" s="399">
        <v>4.7514270225453616</v>
      </c>
      <c r="AZ43" s="399">
        <v>5.1849448410123298</v>
      </c>
      <c r="BA43" s="399">
        <v>5.7585751978891819</v>
      </c>
      <c r="BB43" s="399">
        <v>6.227539513557967</v>
      </c>
      <c r="BC43" s="399">
        <v>6.4250916267108149</v>
      </c>
      <c r="BD43" s="399">
        <v>7.0481790189630598</v>
      </c>
      <c r="BE43" s="399">
        <v>7.8463899697765473</v>
      </c>
      <c r="BF43" s="399">
        <v>8.9391736276407947</v>
      </c>
      <c r="BG43" s="399">
        <v>10.228619206490722</v>
      </c>
      <c r="BH43" s="400" t="e">
        <f t="shared" ref="BH43:BN43" ca="1" si="172">$N43/Q43</f>
        <v>#VALUE!</v>
      </c>
      <c r="BI43" s="400" t="e">
        <f t="shared" ca="1" si="172"/>
        <v>#VALUE!</v>
      </c>
      <c r="BJ43" s="400" t="e">
        <f t="shared" ca="1" si="172"/>
        <v>#VALUE!</v>
      </c>
      <c r="BK43" s="400" t="e">
        <f t="shared" ca="1" si="172"/>
        <v>#VALUE!</v>
      </c>
      <c r="BL43" s="400" t="e">
        <f t="shared" ca="1" si="172"/>
        <v>#VALUE!</v>
      </c>
      <c r="BM43" s="400" t="e">
        <f t="shared" ca="1" si="172"/>
        <v>#VALUE!</v>
      </c>
      <c r="BN43" s="400" t="e">
        <f t="shared" ca="1" si="172"/>
        <v>#VALUE!</v>
      </c>
      <c r="BO43" s="400" t="e">
        <f t="shared" ca="1" si="166"/>
        <v>#VALUE!</v>
      </c>
      <c r="BP43" s="400" t="e">
        <f t="shared" ca="1" si="166"/>
        <v>#VALUE!</v>
      </c>
      <c r="BQ43" s="400" t="e">
        <f t="shared" ca="1" si="166"/>
        <v>#VALUE!</v>
      </c>
      <c r="BR43" s="400" t="e">
        <f t="shared" ca="1" si="166"/>
        <v>#VALUE!</v>
      </c>
      <c r="BS43" s="400" t="e">
        <f t="shared" ca="1" si="166"/>
        <v>#VALUE!</v>
      </c>
      <c r="BT43" s="400" t="e">
        <f ca="1">$H43/AT43</f>
        <v>#VALUE!</v>
      </c>
      <c r="BU43" s="400" t="e">
        <f ca="1">$H43/AU43</f>
        <v>#VALUE!</v>
      </c>
      <c r="BV43" s="400" t="e">
        <f ca="1">$H43/AV43</f>
        <v>#VALUE!</v>
      </c>
      <c r="BW43" s="400" t="e">
        <f ca="1">$H43/AW43</f>
        <v>#VALUE!</v>
      </c>
      <c r="BX43" s="400" t="e">
        <f ca="1">$H43/AX43</f>
        <v>#VALUE!</v>
      </c>
      <c r="BY43" s="8" t="e">
        <f ca="1">$H43/BC43</f>
        <v>#VALUE!</v>
      </c>
      <c r="BZ43" s="400" t="e">
        <f ca="1">$H43/BD43</f>
        <v>#VALUE!</v>
      </c>
      <c r="CA43" s="400" t="e">
        <f ca="1">$H43/BE43</f>
        <v>#VALUE!</v>
      </c>
      <c r="CB43" s="400" t="e">
        <f ca="1">$H43/BF43</f>
        <v>#VALUE!</v>
      </c>
      <c r="CC43" s="400" t="e">
        <f ca="1">$H43/BG43</f>
        <v>#VALUE!</v>
      </c>
      <c r="CD43" s="12">
        <v>17</v>
      </c>
      <c r="CE43" s="167">
        <f>CD43</f>
        <v>17</v>
      </c>
      <c r="CF43" s="12">
        <f>CE43</f>
        <v>17</v>
      </c>
      <c r="CG43" s="12">
        <f>CF43</f>
        <v>17</v>
      </c>
      <c r="CH43" s="82">
        <f>CG43</f>
        <v>17</v>
      </c>
      <c r="CI43" s="46"/>
      <c r="CJ43" s="46"/>
      <c r="CK43" s="46"/>
      <c r="CL43" s="46"/>
      <c r="CM43" s="46"/>
      <c r="CN43" s="43">
        <f>CD43*BD43+CS43</f>
        <v>119.81904332237201</v>
      </c>
      <c r="CO43" s="43">
        <f>CE43*BE43+CT43</f>
        <v>133.3886294862013</v>
      </c>
      <c r="CP43" s="43">
        <f>CF43*BF43+CU43</f>
        <v>151.96595166989351</v>
      </c>
      <c r="CQ43" s="43">
        <f>CG43*BG43+CV43</f>
        <v>173.88652651034226</v>
      </c>
      <c r="CR43" s="7"/>
      <c r="CS43" s="7"/>
      <c r="CT43" s="7"/>
      <c r="CU43" s="7"/>
      <c r="CV43" s="7"/>
      <c r="CW43" s="7"/>
      <c r="CX43" s="41"/>
      <c r="CY43" s="41"/>
      <c r="CZ43" s="41"/>
      <c r="DA43" s="41"/>
      <c r="DB43" s="19"/>
      <c r="DC43" s="40">
        <v>433.47426000447155</v>
      </c>
      <c r="DD43" s="40">
        <v>424.05038740747284</v>
      </c>
      <c r="DE43" s="40">
        <v>415.27758443811967</v>
      </c>
      <c r="DF43" s="40">
        <v>406.81159759648955</v>
      </c>
      <c r="DG43" s="40">
        <v>398.58427503151796</v>
      </c>
      <c r="DH43" s="40">
        <v>6730</v>
      </c>
      <c r="DI43" s="40">
        <v>6730</v>
      </c>
      <c r="DJ43" s="40">
        <v>6730</v>
      </c>
      <c r="DK43" s="40">
        <v>6730</v>
      </c>
      <c r="DL43" s="40">
        <v>6730</v>
      </c>
      <c r="DM43" s="7"/>
      <c r="DN43" s="7"/>
      <c r="DO43" s="7">
        <v>2.3344999999999998</v>
      </c>
      <c r="DP43" s="7">
        <v>2.6846749999999995</v>
      </c>
      <c r="DQ43" s="7">
        <v>3.0873762499999993</v>
      </c>
      <c r="DR43" s="7">
        <v>3.5504826874999988</v>
      </c>
      <c r="DS43" s="7">
        <v>4.0830550906249981</v>
      </c>
      <c r="DT43" s="78" t="e">
        <f ca="1">_xlfn.RRI(DT$2,$H43,CN43+$DO43*$DT$2)</f>
        <v>#VALUE!</v>
      </c>
      <c r="DU43" s="78" t="e">
        <f ca="1">_xlfn.RRI(DU$2,$H43,CO43+$DO43*$DT$2+SUM($DP43:DP43))</f>
        <v>#VALUE!</v>
      </c>
      <c r="DV43" s="6" t="e">
        <f ca="1">_xlfn.RRI(DV$2,$H43,CP43+$DO43*$DT$2+SUM($DP43:DQ43))</f>
        <v>#VALUE!</v>
      </c>
      <c r="DW43" s="6" t="e">
        <f ca="1">_xlfn.RRI(DW$2,$H43,CQ43+$DO43*$DT$2+SUM($DP43:DR43))</f>
        <v>#VALUE!</v>
      </c>
      <c r="DX43" s="171" t="e">
        <f ca="1">SUM(CN43,$DO43:DO43)/$H43</f>
        <v>#VALUE!</v>
      </c>
      <c r="DY43" s="132" t="e">
        <f ca="1">SUM(CO43,$DO43:DP43)/$H43</f>
        <v>#VALUE!</v>
      </c>
      <c r="DZ43" s="132" t="e">
        <f ca="1">SUM(CP43,$DO43:DQ43)/$H43</f>
        <v>#VALUE!</v>
      </c>
      <c r="EA43" s="132" t="e">
        <f ca="1">SUM(CQ43,$DO43:DR43)/$H43</f>
        <v>#VALUE!</v>
      </c>
      <c r="EB43" s="78" cm="1">
        <f t="array" ref="EB43">_xll.BDP(""&amp;$B43&amp;"","CHG_PCT_1M")/100</f>
        <v>-4.7688059999999997E-2</v>
      </c>
      <c r="EC43" s="6" cm="1">
        <f t="array" ref="EC43">_xll.BDP(""&amp;$B43&amp;"","CHG_PCT_3M")/100</f>
        <v>-0.35040759999999999</v>
      </c>
      <c r="ED43" s="194" cm="1">
        <f t="array" ref="ED43">_xll.BDP(""&amp;$B43&amp;"","CHG_PCT_6M")/100</f>
        <v>-0.33243060000000002</v>
      </c>
      <c r="EE43" s="363">
        <f ca="1">_xlfn.RRI(2+$DT$2,$DT$2*S43+(1-$DT$2)*T43,V43)</f>
        <v>6.8912552008909334E-2</v>
      </c>
      <c r="EF43" s="175">
        <f ca="1">EG43-EE43</f>
        <v>2.7273815118963984E-2</v>
      </c>
      <c r="EG43" s="363">
        <f ca="1">_xlfn.RRI(2+$DT$2,$DT$2*(BC43*DC43)+(1-$DT$2)*(BD43*DD43),(BF43*DF43))</f>
        <v>9.6186367127873318E-2</v>
      </c>
      <c r="EH43" s="6">
        <f ca="1">EI43-EG43</f>
        <v>2.3090980486366153E-2</v>
      </c>
      <c r="EI43" s="363">
        <f ca="1">ER43+EQ43</f>
        <v>0.11927734761423947</v>
      </c>
      <c r="EJ43" s="6" t="e">
        <f ca="1">EK43-EI43</f>
        <v>#VALUE!</v>
      </c>
      <c r="EK43" s="194" t="e">
        <f ca="1">DV43</f>
        <v>#VALUE!</v>
      </c>
      <c r="EL43" s="6">
        <f>_xlfn.RRI(3,AK43,AN43)</f>
        <v>6.9576232749883671E-2</v>
      </c>
      <c r="EM43" s="194">
        <f>_xlfn.RRI(3,BC43,BF43)</f>
        <v>0.11636449526361048</v>
      </c>
      <c r="EN43" s="163" cm="1">
        <f t="array" ref="EN43">_xll.BDP(B43,"AVG_DAILY_VALUE_TRADED_3M")/10^6</f>
        <v>560.08838400000002</v>
      </c>
      <c r="EQ43" s="361">
        <f ca="1">IFERROR(AVERAGE(DP43:DQ43)/H43,0)</f>
        <v>0</v>
      </c>
      <c r="ER43" s="361">
        <f ca="1">_xlfn.RRI(2+$DT$2,$DT$2*(BC43)+(1-$DT$2)*(BD43),(BF43))</f>
        <v>0.11927734761423947</v>
      </c>
      <c r="ES43" s="127">
        <f ca="1">ER43-EG43+EQ43</f>
        <v>2.3090980486366153E-2</v>
      </c>
      <c r="EX43" s="292"/>
      <c r="EY43" s="292"/>
      <c r="EZ43" s="292"/>
      <c r="FA43" s="292"/>
      <c r="FB43" s="292"/>
      <c r="FC43" s="292"/>
      <c r="FD43" s="292"/>
      <c r="FE43" s="292"/>
      <c r="FF43" s="296">
        <v>0.2</v>
      </c>
      <c r="FG43" s="296">
        <v>-0.25</v>
      </c>
      <c r="FH43" s="295">
        <f>FF43-FG43</f>
        <v>0.45</v>
      </c>
      <c r="FI43" s="298">
        <f>FT43/CF43-1</f>
        <v>0.41176470588235303</v>
      </c>
      <c r="FJ43" s="298">
        <f>FU43/CF43-1</f>
        <v>-0.11764705882352944</v>
      </c>
      <c r="FK43" s="295">
        <f>FI43-FJ43</f>
        <v>0.52941176470588247</v>
      </c>
      <c r="FL43" s="15">
        <f>FF43+FG43</f>
        <v>-4.9999999999999989E-2</v>
      </c>
      <c r="FM43" s="15">
        <f>FJ43+FI43</f>
        <v>0.29411764705882359</v>
      </c>
      <c r="FN43" s="15" t="e">
        <f ca="1">EK43+FF43/3+FI43/3</f>
        <v>#VALUE!</v>
      </c>
      <c r="FO43" s="15" t="e">
        <f ca="1">EK43+FG43/3+FJ43/3</f>
        <v>#VALUE!</v>
      </c>
      <c r="FP43" s="300" t="e">
        <f ca="1">EK43+FL43/3+FM43/3</f>
        <v>#VALUE!</v>
      </c>
      <c r="FQ43" s="15" t="e">
        <f ca="1">EK43</f>
        <v>#VALUE!</v>
      </c>
      <c r="FR43" s="300" t="e">
        <f ca="1">FP43-FQ43</f>
        <v>#VALUE!</v>
      </c>
      <c r="FS43" s="15" t="e">
        <f ca="1">FN43-FO43</f>
        <v>#VALUE!</v>
      </c>
      <c r="FT43" s="294">
        <v>24</v>
      </c>
      <c r="FU43" s="294">
        <v>15</v>
      </c>
    </row>
    <row r="44" spans="2:177" x14ac:dyDescent="0.25">
      <c r="B44" s="10" t="s">
        <v>183</v>
      </c>
      <c r="C44" s="10"/>
      <c r="D44" s="38" t="s">
        <v>161</v>
      </c>
      <c r="E44" s="392"/>
      <c r="F44" s="393">
        <v>46139</v>
      </c>
      <c r="G44" s="394"/>
      <c r="H44" s="395" t="str" cm="1">
        <f t="array" aca="1" ref="H44" ca="1">_xll.BQL($B44, "px_last", "dates=" &amp; _xll.BQL.DATE($D$2))</f>
        <v>#N/A Connection</v>
      </c>
      <c r="I44" s="25">
        <v>28.074000000000002</v>
      </c>
      <c r="J44" s="25">
        <v>-222.566</v>
      </c>
      <c r="K44" s="2">
        <v>1209.0940000000001</v>
      </c>
      <c r="L44" s="2"/>
      <c r="M44" s="80">
        <f>K44+J44</f>
        <v>986.52800000000002</v>
      </c>
      <c r="N44" s="184" t="e">
        <f ca="1">I44*H44+M44+L44</f>
        <v>#VALUE!</v>
      </c>
      <c r="O44" s="396">
        <v>357.52100000000002</v>
      </c>
      <c r="P44" s="396">
        <v>460.05500000000006</v>
      </c>
      <c r="Q44" s="396">
        <v>625.80700000000002</v>
      </c>
      <c r="R44" s="396">
        <v>696.85299999999995</v>
      </c>
      <c r="S44" s="396">
        <v>778.76669208069336</v>
      </c>
      <c r="T44" s="396">
        <v>919.23366151583843</v>
      </c>
      <c r="U44" s="396">
        <v>1078.8701356962054</v>
      </c>
      <c r="V44" s="396">
        <v>1258.6672035847216</v>
      </c>
      <c r="W44" s="396">
        <v>1459.653561009432</v>
      </c>
      <c r="X44" s="4"/>
      <c r="Y44" s="4"/>
      <c r="Z44" s="4"/>
      <c r="AA44" s="4"/>
      <c r="AB44" s="4"/>
      <c r="AC44" s="4"/>
      <c r="AD44" s="4"/>
      <c r="AE44" s="4"/>
      <c r="AF44" s="4"/>
      <c r="AG44" s="397"/>
      <c r="AH44" s="397"/>
      <c r="AI44" s="397"/>
      <c r="AJ44" s="397"/>
      <c r="AK44" s="397"/>
      <c r="AL44" s="397"/>
      <c r="AM44" s="397"/>
      <c r="AN44" s="397"/>
      <c r="AO44" s="397"/>
      <c r="AP44" s="398">
        <v>1.8477140585455221</v>
      </c>
      <c r="AQ44" s="398">
        <v>2.4811677698590002</v>
      </c>
      <c r="AR44" s="398">
        <v>3.7247811463065239</v>
      </c>
      <c r="AS44" s="398">
        <v>4.1483008103322749</v>
      </c>
      <c r="AT44" s="398">
        <v>4.6123604320837819</v>
      </c>
      <c r="AU44" s="398">
        <v>5.9750369566690855</v>
      </c>
      <c r="AV44" s="398">
        <v>7.6104082910456876</v>
      </c>
      <c r="AW44" s="399">
        <v>9.5565600082998365</v>
      </c>
      <c r="AX44" s="399">
        <v>11.856499301466721</v>
      </c>
      <c r="AY44" s="398">
        <v>1.8477140585455221</v>
      </c>
      <c r="AZ44" s="398">
        <v>2.4811677698590002</v>
      </c>
      <c r="BA44" s="398">
        <v>3.7247811463065239</v>
      </c>
      <c r="BB44" s="398">
        <v>4.1483008103322749</v>
      </c>
      <c r="BC44" s="398">
        <v>4.6123604320837819</v>
      </c>
      <c r="BD44" s="398">
        <v>5.9750369566690855</v>
      </c>
      <c r="BE44" s="398">
        <v>7.6104082910456876</v>
      </c>
      <c r="BF44" s="398">
        <v>9.5565600082998365</v>
      </c>
      <c r="BG44" s="398">
        <v>11.856499301466721</v>
      </c>
      <c r="BH44" s="400" t="e">
        <f ca="1">$N44/Q44</f>
        <v>#VALUE!</v>
      </c>
      <c r="BI44" s="400" t="e">
        <f t="shared" ca="1" si="167"/>
        <v>#VALUE!</v>
      </c>
      <c r="BJ44" s="400" t="e">
        <f t="shared" ca="1" si="167"/>
        <v>#VALUE!</v>
      </c>
      <c r="BK44" s="400" t="e">
        <f t="shared" ca="1" si="167"/>
        <v>#VALUE!</v>
      </c>
      <c r="BL44" s="400" t="e">
        <f t="shared" ca="1" si="167"/>
        <v>#VALUE!</v>
      </c>
      <c r="BM44" s="400" t="e">
        <f t="shared" ca="1" si="167"/>
        <v>#VALUE!</v>
      </c>
      <c r="BN44" s="400" t="e">
        <f t="shared" ca="1" si="167"/>
        <v>#VALUE!</v>
      </c>
      <c r="BO44" s="401" t="str">
        <f ca="1">IFERROR($N44/AK44,"n/a")</f>
        <v>n/a</v>
      </c>
      <c r="BP44" s="401" t="str">
        <f ca="1">IFERROR($N44/AL44,"n/a")</f>
        <v>n/a</v>
      </c>
      <c r="BQ44" s="400" t="e">
        <f t="shared" ref="BQ44:BS44" ca="1" si="173">$N44/AM44</f>
        <v>#VALUE!</v>
      </c>
      <c r="BR44" s="400" t="e">
        <f t="shared" ca="1" si="173"/>
        <v>#VALUE!</v>
      </c>
      <c r="BS44" s="400" t="e">
        <f t="shared" ca="1" si="173"/>
        <v>#VALUE!</v>
      </c>
      <c r="BT44" s="400" t="e">
        <f t="shared" ca="1" si="168"/>
        <v>#VALUE!</v>
      </c>
      <c r="BU44" s="400" t="e">
        <f t="shared" ca="1" si="168"/>
        <v>#VALUE!</v>
      </c>
      <c r="BV44" s="400" t="e">
        <f t="shared" ca="1" si="168"/>
        <v>#VALUE!</v>
      </c>
      <c r="BW44" s="400" t="e">
        <f t="shared" ca="1" si="168"/>
        <v>#VALUE!</v>
      </c>
      <c r="BX44" s="400" t="e">
        <f t="shared" ca="1" si="168"/>
        <v>#VALUE!</v>
      </c>
      <c r="BY44" s="8" t="e">
        <f t="shared" ca="1" si="169"/>
        <v>#VALUE!</v>
      </c>
      <c r="BZ44" s="400" t="e">
        <f t="shared" ca="1" si="169"/>
        <v>#VALUE!</v>
      </c>
      <c r="CA44" s="400" t="e">
        <f t="shared" ca="1" si="169"/>
        <v>#VALUE!</v>
      </c>
      <c r="CB44" s="400" t="e">
        <f t="shared" ca="1" si="169"/>
        <v>#VALUE!</v>
      </c>
      <c r="CC44" s="400" t="e">
        <f t="shared" ca="1" si="169"/>
        <v>#VALUE!</v>
      </c>
      <c r="CD44" s="12">
        <v>22</v>
      </c>
      <c r="CE44" s="167">
        <v>22</v>
      </c>
      <c r="CF44" s="12">
        <v>22</v>
      </c>
      <c r="CG44" s="12">
        <v>22</v>
      </c>
      <c r="CH44" s="12">
        <v>24</v>
      </c>
      <c r="CI44" s="46"/>
      <c r="CJ44" s="46"/>
      <c r="CK44" s="46"/>
      <c r="CL44" s="46"/>
      <c r="CM44" s="46"/>
      <c r="CN44" s="136">
        <f>CD44*BD44</f>
        <v>131.45081304671987</v>
      </c>
      <c r="CO44" s="136">
        <f>CE44*BE44</f>
        <v>167.42898240300514</v>
      </c>
      <c r="CP44" s="136">
        <f>CF44*BF44</f>
        <v>210.2443201825964</v>
      </c>
      <c r="CQ44" s="136">
        <f>CG44*BG44</f>
        <v>260.84298463226787</v>
      </c>
      <c r="CR44" s="7"/>
      <c r="CS44" s="7"/>
      <c r="CT44" s="7"/>
      <c r="CU44" s="7"/>
      <c r="CV44" s="7"/>
      <c r="CW44" s="7"/>
      <c r="CX44" s="137"/>
      <c r="CY44" s="137"/>
      <c r="CZ44" s="137"/>
      <c r="DA44" s="137"/>
      <c r="DB44" s="101"/>
      <c r="DC44" s="185">
        <v>27.75106533682029</v>
      </c>
      <c r="DD44" s="185">
        <v>27.356286528818128</v>
      </c>
      <c r="DE44" s="185">
        <v>26.895951367608468</v>
      </c>
      <c r="DF44" s="185">
        <v>26.377227054251701</v>
      </c>
      <c r="DG44" s="185">
        <v>25.807803403713155</v>
      </c>
      <c r="DH44" s="40"/>
      <c r="DI44" s="40"/>
      <c r="DJ44" s="40"/>
      <c r="DK44" s="40"/>
      <c r="DL44" s="40"/>
      <c r="DM44" s="7"/>
      <c r="DN44" s="7"/>
      <c r="DO44" s="7">
        <v>1.3109999999999999</v>
      </c>
      <c r="DP44" s="7">
        <v>1.5076499999999997</v>
      </c>
      <c r="DQ44" s="7">
        <v>1.7337974999999994</v>
      </c>
      <c r="DR44" s="7">
        <v>1.9938671249999993</v>
      </c>
      <c r="DS44" s="7">
        <v>2.292947193749999</v>
      </c>
      <c r="DT44" s="78" t="e">
        <f ca="1">_xlfn.RRI(DT$2,$H44,CN44+$DO44*$DT$2)</f>
        <v>#VALUE!</v>
      </c>
      <c r="DU44" s="78" t="e">
        <f ca="1">_xlfn.RRI(DU$2,$H44,CO44+$DO44*$DT$2+SUM($DP44:DP44))</f>
        <v>#VALUE!</v>
      </c>
      <c r="DV44" s="6" t="e">
        <f ca="1">_xlfn.RRI(DV$2,$H44,CP44+$DO44*$DT$2+SUM($DP44:DQ44))</f>
        <v>#VALUE!</v>
      </c>
      <c r="DW44" s="6" t="e">
        <f ca="1">_xlfn.RRI(DW$2,$H44,CQ44+$DO44*$DT$2+SUM($DP44:DR44))</f>
        <v>#VALUE!</v>
      </c>
      <c r="DX44" s="172" t="e">
        <f ca="1">SUM(CN44,$DO44:DO44)/$H44</f>
        <v>#VALUE!</v>
      </c>
      <c r="DY44" s="138" t="e">
        <f ca="1">SUM(CO44,$DO44:DP44)/$H44</f>
        <v>#VALUE!</v>
      </c>
      <c r="DZ44" s="138" t="e">
        <f ca="1">SUM(CP44,$DO44:DQ44)/$H44</f>
        <v>#VALUE!</v>
      </c>
      <c r="EA44" s="138" t="e">
        <f ca="1">SUM(CQ44,$DO44:DR44)/$H44</f>
        <v>#VALUE!</v>
      </c>
      <c r="EB44" s="78" cm="1">
        <f t="array" ref="EB44">_xll.BDP(""&amp;$B44&amp;"","CHG_PCT_1M")/100</f>
        <v>0.1235444</v>
      </c>
      <c r="EC44" s="6" cm="1">
        <f t="array" ref="EC44">_xll.BDP(""&amp;$B44&amp;"","CHG_PCT_3M")/100</f>
        <v>-0.36427110000000001</v>
      </c>
      <c r="ED44" s="194" cm="1">
        <f t="array" ref="ED44">_xll.BDP(""&amp;$B44&amp;"","CHG_PCT_6M")/100</f>
        <v>-0.4076438</v>
      </c>
      <c r="EE44" s="363">
        <f ca="1">_xlfn.RRI(2+$DT$2,$DT$2*S44+(1-$DT$2)*T44,V44)</f>
        <v>0.17081653088343574</v>
      </c>
      <c r="EF44" s="175">
        <f ca="1">EG44-EE44</f>
        <v>7.5004581872565979E-2</v>
      </c>
      <c r="EG44" s="363">
        <f ca="1">_xlfn.RRI(2+$DT$2,$DT$2*(BC44*DC44)+(1-$DT$2)*(BD44*DD44),(BF44*DF44))</f>
        <v>0.24582111275600171</v>
      </c>
      <c r="EH44" s="6">
        <f ca="1">EI44-EG44</f>
        <v>2.1386881134737967E-2</v>
      </c>
      <c r="EI44" s="363">
        <f ca="1">ER44+EQ44</f>
        <v>0.26720799389073968</v>
      </c>
      <c r="EJ44" s="6" t="e">
        <f ca="1">EK44-EI44</f>
        <v>#VALUE!</v>
      </c>
      <c r="EK44" s="194" t="e">
        <f ca="1">DV44</f>
        <v>#VALUE!</v>
      </c>
      <c r="EL44" s="6">
        <f>_xlfn.RRI(3,AK44,AN44)</f>
        <v>0</v>
      </c>
      <c r="EM44" s="194">
        <f>_xlfn.RRI(3,BC44,BF44)</f>
        <v>0.27485106508096546</v>
      </c>
      <c r="EN44" s="163" cm="1">
        <f t="array" ref="EN44">_xll.BDP(B44,"AVG_DAILY_VALUE_TRADED_3M")/10^6</f>
        <v>218.65601599999999</v>
      </c>
      <c r="EQ44" s="361">
        <f ca="1">IFERROR(AVERAGE(DP44:DQ44)/H44,0)</f>
        <v>0</v>
      </c>
      <c r="ER44" s="361">
        <f ca="1">_xlfn.RRI(2+$DT$2,$DT$2*(BC44)+(1-$DT$2)*(BD44),(BF44))</f>
        <v>0.26720799389073968</v>
      </c>
      <c r="ES44" s="127">
        <f ca="1">ER44-EG44+EQ44</f>
        <v>2.1386881134737967E-2</v>
      </c>
      <c r="EX44" s="359" cm="1">
        <f t="array" ref="EX44">_xll.BQL("WING US Equity", "IS_COMP_EPS_ADJUSTED_OLD", "FPT=A", "FPO=1A", "ACT_EST_MAPPING=PRECISE", "FS=MRC", "CURRENCY=USD", "XLFILL=b")</f>
        <v>4.573939393939396</v>
      </c>
      <c r="EY44" s="359" cm="1">
        <f t="array" ref="EY44">_xll.BQL("WING US Equity", "IS_COMP_EPS_ADJUSTED_OLD", "FPT=A", "FPO=2A", "ACT_EST_MAPPING=PRECISE", "FS=MRC", "CURRENCY=USD", "XLFILL=b")</f>
        <v>5.5684848484848475</v>
      </c>
      <c r="EZ44" s="359" cm="1">
        <f t="array" ref="EZ44">_xll.BQL("WING US Equity", "IS_COMP_EPS_ADJUSTED_OLD", "FPT=A", "FPO=3A", "ACT_EST_MAPPING=PRECISE", "FS=MRC", "CURRENCY=USD", "XLFILL=b")</f>
        <v>6.9135294117647073</v>
      </c>
      <c r="FA44" s="359" cm="1">
        <f t="array" ref="FA44">_xll.BQL("WING US Equity", "IS_COMP_EPS_ADJUSTED_OLD", "FPT=A", "FPO=4A", "ACT_EST_MAPPING=PRECISE", "FS=MRC", "CURRENCY=USD", "XLFILL=b")</f>
        <v>8.2750000000000004</v>
      </c>
      <c r="FB44" s="360">
        <f>BC44/EX44-1</f>
        <v>8.3999884640568734E-3</v>
      </c>
      <c r="FC44" s="360">
        <f>BD44/EY44-1</f>
        <v>7.3009466532868217E-2</v>
      </c>
      <c r="FD44" s="360">
        <f>BE44/EZ44-1</f>
        <v>0.10079929335298776</v>
      </c>
      <c r="FE44" s="360">
        <f>BF44/FA44-1</f>
        <v>0.15487130009665684</v>
      </c>
      <c r="FF44" s="296">
        <v>0.2</v>
      </c>
      <c r="FG44" s="296">
        <v>-0.15</v>
      </c>
      <c r="FH44" s="308">
        <f>FF44-FG44</f>
        <v>0.35</v>
      </c>
      <c r="FI44" s="309">
        <f>FT44/CF44-1</f>
        <v>0.36363636363636354</v>
      </c>
      <c r="FJ44" s="309">
        <f>FU44/CF44-1</f>
        <v>-9.0909090909090939E-2</v>
      </c>
      <c r="FK44" s="308">
        <f>FI44-FJ44</f>
        <v>0.45454545454545447</v>
      </c>
      <c r="FL44" s="310">
        <f>FF44+FG44</f>
        <v>5.0000000000000017E-2</v>
      </c>
      <c r="FM44" s="310">
        <f>FJ44+FI44</f>
        <v>0.2727272727272726</v>
      </c>
      <c r="FN44" s="310" t="e">
        <f ca="1">EK44+FF44/3+FI44/3</f>
        <v>#VALUE!</v>
      </c>
      <c r="FO44" s="310" t="e">
        <f ca="1">EK44+FG44/3+FJ44/3</f>
        <v>#VALUE!</v>
      </c>
      <c r="FP44" s="311" t="e">
        <f ca="1">EK44+FL44/3+FM44/3</f>
        <v>#VALUE!</v>
      </c>
      <c r="FQ44" s="310" t="e">
        <f ca="1">EK44</f>
        <v>#VALUE!</v>
      </c>
      <c r="FR44" s="311" t="e">
        <f ca="1">FP44-FQ44</f>
        <v>#VALUE!</v>
      </c>
      <c r="FS44" s="310" t="e">
        <f ca="1">FN44-FO44</f>
        <v>#VALUE!</v>
      </c>
      <c r="FT44" s="294">
        <v>30</v>
      </c>
      <c r="FU44" s="294">
        <v>20</v>
      </c>
    </row>
    <row r="45" spans="2:177" x14ac:dyDescent="0.25">
      <c r="B45" s="10"/>
      <c r="C45" s="10"/>
      <c r="D45" s="38"/>
      <c r="E45" s="392"/>
      <c r="F45" s="393"/>
      <c r="G45" s="394"/>
      <c r="H45" s="395"/>
      <c r="I45" s="25"/>
      <c r="J45" s="25"/>
      <c r="K45" s="2"/>
      <c r="L45" s="2"/>
      <c r="M45" s="80"/>
      <c r="N45" s="184"/>
      <c r="O45" s="396"/>
      <c r="P45" s="396"/>
      <c r="Q45" s="396"/>
      <c r="R45" s="396"/>
      <c r="S45" s="396"/>
      <c r="T45" s="396"/>
      <c r="U45" s="396"/>
      <c r="V45" s="396"/>
      <c r="W45" s="396"/>
      <c r="X45" s="4"/>
      <c r="Y45" s="4"/>
      <c r="Z45" s="4"/>
      <c r="AA45" s="4"/>
      <c r="AB45" s="4"/>
      <c r="AC45" s="4"/>
      <c r="AD45" s="4"/>
      <c r="AE45" s="4"/>
      <c r="AF45" s="4"/>
      <c r="AG45" s="397"/>
      <c r="AH45" s="397"/>
      <c r="AI45" s="397"/>
      <c r="AJ45" s="397"/>
      <c r="AK45" s="397"/>
      <c r="AL45" s="397"/>
      <c r="AM45" s="397"/>
      <c r="AN45" s="397"/>
      <c r="AO45" s="397"/>
      <c r="AP45" s="398"/>
      <c r="AQ45" s="398"/>
      <c r="AR45" s="398"/>
      <c r="AS45" s="398"/>
      <c r="AT45" s="398"/>
      <c r="AU45" s="398"/>
      <c r="AV45" s="398"/>
      <c r="AW45" s="399"/>
      <c r="AX45" s="399"/>
      <c r="AY45" s="398"/>
      <c r="AZ45" s="398"/>
      <c r="BA45" s="398"/>
      <c r="BB45" s="398"/>
      <c r="BC45" s="398"/>
      <c r="BD45" s="398"/>
      <c r="BE45" s="398"/>
      <c r="BF45" s="398"/>
      <c r="BG45" s="398"/>
      <c r="BH45" s="400"/>
      <c r="BI45" s="400"/>
      <c r="BJ45" s="400"/>
      <c r="BK45" s="400"/>
      <c r="BL45" s="400"/>
      <c r="BM45" s="400"/>
      <c r="BN45" s="400"/>
      <c r="BO45" s="401"/>
      <c r="BP45" s="401"/>
      <c r="BQ45" s="400"/>
      <c r="BR45" s="400"/>
      <c r="BS45" s="400"/>
      <c r="BT45" s="400"/>
      <c r="BU45" s="400"/>
      <c r="BV45" s="400"/>
      <c r="BW45" s="400"/>
      <c r="BX45" s="400"/>
      <c r="BY45" s="8"/>
      <c r="BZ45" s="400"/>
      <c r="CA45" s="400"/>
      <c r="CB45" s="400"/>
      <c r="CC45" s="400"/>
      <c r="CD45" s="12"/>
      <c r="CE45" s="167"/>
      <c r="CF45" s="12"/>
      <c r="CG45" s="12"/>
      <c r="CH45" s="12"/>
      <c r="CI45" s="46"/>
      <c r="CJ45" s="46"/>
      <c r="CK45" s="46"/>
      <c r="CL45" s="46"/>
      <c r="CM45" s="46"/>
      <c r="CN45" s="136"/>
      <c r="CO45" s="136"/>
      <c r="CP45" s="136"/>
      <c r="CQ45" s="136"/>
      <c r="CR45" s="7"/>
      <c r="CS45" s="7"/>
      <c r="CT45" s="7"/>
      <c r="CU45" s="7"/>
      <c r="CV45" s="7"/>
      <c r="CW45" s="7"/>
      <c r="CX45" s="137"/>
      <c r="CY45" s="137"/>
      <c r="CZ45" s="137"/>
      <c r="DA45" s="137"/>
      <c r="DB45" s="101"/>
      <c r="DC45" s="185"/>
      <c r="DD45" s="185"/>
      <c r="DE45" s="185"/>
      <c r="DF45" s="185"/>
      <c r="DG45" s="185"/>
      <c r="DH45" s="40"/>
      <c r="DI45" s="40"/>
      <c r="DJ45" s="40"/>
      <c r="DK45" s="40"/>
      <c r="DL45" s="40"/>
      <c r="DM45" s="7"/>
      <c r="DN45" s="7"/>
      <c r="DO45" s="7"/>
      <c r="DP45" s="7"/>
      <c r="DQ45" s="7"/>
      <c r="DR45" s="7"/>
      <c r="DS45" s="7"/>
      <c r="DT45" s="78"/>
      <c r="DU45" s="78"/>
      <c r="DV45" s="6"/>
      <c r="DW45" s="6"/>
      <c r="DX45" s="172"/>
      <c r="DY45" s="138"/>
      <c r="DZ45" s="138"/>
      <c r="EA45" s="138"/>
      <c r="EB45" s="78"/>
      <c r="EC45" s="6"/>
      <c r="ED45" s="194"/>
      <c r="EE45" s="363"/>
      <c r="EF45" s="175"/>
      <c r="EG45" s="363"/>
      <c r="EH45" s="6"/>
      <c r="EI45" s="363"/>
      <c r="EJ45" s="6"/>
      <c r="EK45" s="194"/>
      <c r="EL45" s="6"/>
      <c r="EM45" s="194"/>
      <c r="EN45" s="163"/>
      <c r="EQ45" s="361"/>
      <c r="ER45" s="361"/>
      <c r="ES45" s="127"/>
      <c r="EX45" s="359"/>
      <c r="EY45" s="359"/>
      <c r="EZ45" s="359"/>
      <c r="FA45" s="359"/>
      <c r="FB45" s="360"/>
      <c r="FC45" s="360"/>
      <c r="FD45" s="360"/>
      <c r="FE45" s="360"/>
      <c r="FF45" s="296"/>
      <c r="FG45" s="296"/>
      <c r="FH45" s="308"/>
      <c r="FI45" s="309"/>
      <c r="FJ45" s="309"/>
      <c r="FK45" s="308"/>
      <c r="FL45" s="310"/>
      <c r="FM45" s="310"/>
      <c r="FN45" s="310"/>
      <c r="FO45" s="310"/>
      <c r="FP45" s="311"/>
      <c r="FQ45" s="310"/>
      <c r="FR45" s="311"/>
      <c r="FS45" s="310"/>
      <c r="FT45" s="294"/>
      <c r="FU45" s="294"/>
    </row>
    <row r="46" spans="2:177" ht="15.75" x14ac:dyDescent="0.25">
      <c r="B46" s="10"/>
      <c r="C46" s="10"/>
      <c r="D46" s="161" t="s">
        <v>148</v>
      </c>
      <c r="E46" s="289"/>
      <c r="F46" s="413"/>
      <c r="G46" s="392"/>
      <c r="H46" s="411"/>
      <c r="I46" s="25"/>
      <c r="J46" s="25"/>
      <c r="K46" s="2"/>
      <c r="L46" s="392"/>
      <c r="M46" s="76"/>
      <c r="N46" s="89"/>
      <c r="O46" s="396"/>
      <c r="P46" s="396"/>
      <c r="Q46" s="396"/>
      <c r="R46" s="396"/>
      <c r="S46" s="396"/>
      <c r="T46" s="396"/>
      <c r="U46" s="396"/>
      <c r="V46" s="396"/>
      <c r="W46" s="396"/>
      <c r="X46" s="21"/>
      <c r="Y46" s="21"/>
      <c r="Z46" s="21"/>
      <c r="AA46" s="21"/>
      <c r="AB46" s="21"/>
      <c r="AC46" s="21"/>
      <c r="AD46" s="21"/>
      <c r="AE46" s="21"/>
      <c r="AF46" s="21"/>
      <c r="AG46" s="417"/>
      <c r="AH46" s="417"/>
      <c r="AI46" s="417"/>
      <c r="AJ46" s="417"/>
      <c r="AK46" s="417"/>
      <c r="AL46" s="417"/>
      <c r="AM46" s="417"/>
      <c r="AN46" s="417"/>
      <c r="AO46" s="417"/>
      <c r="AP46" s="399"/>
      <c r="AQ46" s="399"/>
      <c r="AR46" s="399"/>
      <c r="AS46" s="399"/>
      <c r="AT46" s="399"/>
      <c r="AU46" s="399"/>
      <c r="AV46" s="399"/>
      <c r="AW46" s="399"/>
      <c r="AX46" s="399"/>
      <c r="AY46" s="418"/>
      <c r="AZ46" s="418"/>
      <c r="BA46" s="418"/>
      <c r="BB46" s="418"/>
      <c r="BC46" s="418"/>
      <c r="BD46" s="418"/>
      <c r="BE46" s="418"/>
      <c r="BF46" s="418"/>
      <c r="BG46" s="418"/>
      <c r="BH46" s="400"/>
      <c r="BI46" s="400"/>
      <c r="BJ46" s="400"/>
      <c r="BK46" s="400"/>
      <c r="BL46" s="400"/>
      <c r="BM46" s="400"/>
      <c r="BN46" s="400"/>
      <c r="BO46" s="400"/>
      <c r="BP46" s="400"/>
      <c r="BQ46" s="400"/>
      <c r="BR46" s="400"/>
      <c r="BS46" s="400"/>
      <c r="BT46" s="400"/>
      <c r="BU46" s="400"/>
      <c r="BV46" s="400"/>
      <c r="BW46" s="400"/>
      <c r="BX46" s="400"/>
      <c r="BY46" s="8"/>
      <c r="BZ46" s="400"/>
      <c r="CA46" s="400"/>
      <c r="CB46" s="400"/>
      <c r="CC46" s="400"/>
      <c r="CD46" s="12"/>
      <c r="CE46" s="167"/>
      <c r="CF46" s="12"/>
      <c r="CG46" s="12"/>
      <c r="CH46" s="82"/>
      <c r="CI46" s="46"/>
      <c r="CJ46" s="46"/>
      <c r="CK46" s="46"/>
      <c r="CL46" s="46"/>
      <c r="CM46" s="46"/>
      <c r="CN46" s="43"/>
      <c r="CO46" s="43"/>
      <c r="CP46" s="43"/>
      <c r="CQ46" s="43"/>
      <c r="CR46" s="7"/>
      <c r="CS46" s="7"/>
      <c r="CT46" s="7"/>
      <c r="CU46" s="7"/>
      <c r="CV46" s="7"/>
      <c r="CW46" s="7"/>
      <c r="CX46" s="19"/>
      <c r="CY46" s="19"/>
      <c r="CZ46" s="19"/>
      <c r="DA46" s="19"/>
      <c r="DB46" s="19"/>
      <c r="DC46" s="40"/>
      <c r="DD46" s="429"/>
      <c r="DE46" s="429"/>
      <c r="DF46" s="429"/>
      <c r="DG46" s="429"/>
      <c r="DH46" s="40"/>
      <c r="DI46" s="40"/>
      <c r="DJ46" s="40"/>
      <c r="DK46" s="40"/>
      <c r="DL46" s="40"/>
      <c r="DM46" s="7"/>
      <c r="DN46" s="7"/>
      <c r="DO46" s="7"/>
      <c r="DP46" s="7"/>
      <c r="DQ46" s="7"/>
      <c r="DR46" s="7"/>
      <c r="DS46" s="7"/>
      <c r="DT46" s="78"/>
      <c r="DU46" s="78"/>
      <c r="DV46" s="6"/>
      <c r="DW46" s="6"/>
      <c r="DX46" s="171"/>
      <c r="DY46" s="132"/>
      <c r="DZ46" s="132"/>
      <c r="EA46" s="132"/>
      <c r="EB46" s="78"/>
      <c r="EC46" s="6"/>
      <c r="ED46" s="194"/>
      <c r="EE46" s="363"/>
      <c r="EF46" s="6"/>
      <c r="EG46" s="363"/>
      <c r="EH46" s="6"/>
      <c r="EI46" s="363"/>
      <c r="EJ46" s="6"/>
      <c r="EK46" s="194"/>
      <c r="EL46" s="6"/>
      <c r="EM46" s="194"/>
      <c r="EN46" s="162"/>
      <c r="EX46" s="305"/>
      <c r="EY46" s="305"/>
      <c r="EZ46" s="305"/>
      <c r="FA46" s="305"/>
      <c r="FB46" s="305"/>
      <c r="FC46" s="305"/>
      <c r="FD46" s="305"/>
      <c r="FE46" s="305"/>
      <c r="FF46" s="297"/>
      <c r="FG46" s="296"/>
      <c r="FI46" s="299"/>
      <c r="FJ46" s="298"/>
      <c r="FK46" s="295"/>
      <c r="FN46" s="15"/>
      <c r="FO46" s="15"/>
      <c r="FP46" s="300"/>
      <c r="FQ46" s="300"/>
      <c r="FR46" s="300"/>
      <c r="FS46" s="15"/>
    </row>
    <row r="47" spans="2:177" x14ac:dyDescent="0.25">
      <c r="B47" s="10" t="s">
        <v>20</v>
      </c>
      <c r="C47" s="10"/>
      <c r="D47" s="391" t="s">
        <v>21</v>
      </c>
      <c r="E47" s="291"/>
      <c r="F47" s="393">
        <v>46119</v>
      </c>
      <c r="G47" s="394"/>
      <c r="H47" s="411" t="str" cm="1">
        <f t="array" aca="1" ref="H47" ca="1">_xll.BQL($B47, "px_last", "dates=" &amp; _xll.BQL.DATE($D$2))</f>
        <v>#N/A Connection</v>
      </c>
      <c r="I47" s="396">
        <v>161.46555950000001</v>
      </c>
      <c r="J47" s="25">
        <v>-811</v>
      </c>
      <c r="K47" s="396">
        <v>28</v>
      </c>
      <c r="L47" s="396"/>
      <c r="M47" s="76">
        <f t="shared" ref="M47:M51" si="174">K47+J47</f>
        <v>-783</v>
      </c>
      <c r="N47" s="76" t="e">
        <f t="shared" ref="N47:N51" ca="1" si="175">I47*H47+M47+L47</f>
        <v>#VALUE!</v>
      </c>
      <c r="O47" s="396">
        <v>720.20299999999997</v>
      </c>
      <c r="P47" s="396">
        <v>950.01</v>
      </c>
      <c r="Q47" s="396">
        <v>1151.7080000000001</v>
      </c>
      <c r="R47" s="396">
        <v>1322.509</v>
      </c>
      <c r="S47" s="396">
        <v>1507.6602600000001</v>
      </c>
      <c r="T47" s="396">
        <v>1703.6560938</v>
      </c>
      <c r="U47" s="396">
        <v>1908.0948250560002</v>
      </c>
      <c r="V47" s="396">
        <v>2127.5257299374402</v>
      </c>
      <c r="W47" s="396">
        <v>2361.553560230559</v>
      </c>
      <c r="X47" s="4">
        <f t="shared" ref="X47:AF47" si="176">AG47/O47</f>
        <v>0.83556441725457953</v>
      </c>
      <c r="Y47" s="4">
        <f t="shared" si="176"/>
        <v>0.85259628846012148</v>
      </c>
      <c r="Z47" s="4">
        <f t="shared" si="176"/>
        <v>0.85752899172359653</v>
      </c>
      <c r="AA47" s="4">
        <f t="shared" si="176"/>
        <v>0.83613041574764324</v>
      </c>
      <c r="AB47" s="4">
        <f t="shared" si="176"/>
        <v>0.84928708276435949</v>
      </c>
      <c r="AC47" s="4">
        <f t="shared" si="176"/>
        <v>0.85529973467773546</v>
      </c>
      <c r="AD47" s="4">
        <f t="shared" si="176"/>
        <v>0.85933918869169734</v>
      </c>
      <c r="AE47" s="4">
        <f t="shared" si="176"/>
        <v>0.86341685441544369</v>
      </c>
      <c r="AF47" s="4">
        <f t="shared" si="176"/>
        <v>0.86753327502644018</v>
      </c>
      <c r="AG47" s="397">
        <v>601.77599999999995</v>
      </c>
      <c r="AH47" s="396">
        <v>809.97500000000002</v>
      </c>
      <c r="AI47" s="396">
        <v>987.62300000000005</v>
      </c>
      <c r="AJ47" s="396">
        <v>1105.79</v>
      </c>
      <c r="AK47" s="396">
        <v>1280.4363840151559</v>
      </c>
      <c r="AL47" s="396">
        <v>1457.1366050092472</v>
      </c>
      <c r="AM47" s="396">
        <v>1639.7006589104494</v>
      </c>
      <c r="AN47" s="396">
        <v>1836.9415734305055</v>
      </c>
      <c r="AO47" s="396">
        <v>2048.7262942571665</v>
      </c>
      <c r="AP47" s="399"/>
      <c r="AQ47" s="399">
        <v>0.28600909737087093</v>
      </c>
      <c r="AR47" s="399">
        <v>0.88947487666043556</v>
      </c>
      <c r="AS47" s="399">
        <v>1.3067373292536053</v>
      </c>
      <c r="AT47" s="399">
        <v>1.5666595317545828</v>
      </c>
      <c r="AU47" s="399">
        <v>2.2311580057968907</v>
      </c>
      <c r="AV47" s="399">
        <v>2.9986834405629059</v>
      </c>
      <c r="AW47" s="399">
        <v>3.9350529929697005</v>
      </c>
      <c r="AX47" s="399">
        <v>5.2472298556292394</v>
      </c>
      <c r="AY47" s="399"/>
      <c r="AZ47" s="399"/>
      <c r="BA47" s="399">
        <v>-0.32076478871927772</v>
      </c>
      <c r="BB47" s="399">
        <v>-0.2023966467444398</v>
      </c>
      <c r="BC47" s="399">
        <v>0.34626651271075187</v>
      </c>
      <c r="BD47" s="399">
        <v>0.90715356732215002</v>
      </c>
      <c r="BE47" s="399">
        <v>1.5690341895068045</v>
      </c>
      <c r="BF47" s="399">
        <v>2.3974071894123115</v>
      </c>
      <c r="BG47" s="399">
        <v>3.5235656792081773</v>
      </c>
      <c r="BH47" s="400" t="e">
        <f ca="1">$N47/Q47</f>
        <v>#VALUE!</v>
      </c>
      <c r="BI47" s="400" t="e">
        <f ca="1">$N47/R47</f>
        <v>#VALUE!</v>
      </c>
      <c r="BJ47" s="400" t="e">
        <f ca="1">$N47/S47</f>
        <v>#VALUE!</v>
      </c>
      <c r="BK47" s="400" t="e">
        <f ca="1">$N47/T47</f>
        <v>#VALUE!</v>
      </c>
      <c r="BL47" s="400" t="e">
        <f ca="1">$N47/U47</f>
        <v>#VALUE!</v>
      </c>
      <c r="BM47" s="400" t="e">
        <f ca="1">$N47/V47</f>
        <v>#VALUE!</v>
      </c>
      <c r="BN47" s="400" t="e">
        <f ca="1">$N47/W47</f>
        <v>#VALUE!</v>
      </c>
      <c r="BO47" s="400" t="e">
        <f ca="1">$N47/AK47</f>
        <v>#VALUE!</v>
      </c>
      <c r="BP47" s="400" t="e">
        <f ca="1">$N47/AL47</f>
        <v>#VALUE!</v>
      </c>
      <c r="BQ47" s="400" t="e">
        <f ca="1">$N47/AM47</f>
        <v>#VALUE!</v>
      </c>
      <c r="BR47" s="400" t="e">
        <f ca="1">$N47/AN47</f>
        <v>#VALUE!</v>
      </c>
      <c r="BS47" s="400" t="e">
        <f ca="1">$N47/AO47</f>
        <v>#VALUE!</v>
      </c>
      <c r="BT47" s="432"/>
      <c r="BU47" s="432"/>
      <c r="BV47" s="432"/>
      <c r="BW47" s="432"/>
      <c r="BX47" s="432"/>
      <c r="BY47" s="199" t="s">
        <v>24</v>
      </c>
      <c r="BZ47" s="400" t="e">
        <f ca="1">$H47/BD47</f>
        <v>#VALUE!</v>
      </c>
      <c r="CA47" s="400" t="e">
        <f ca="1">$H47/BE47</f>
        <v>#VALUE!</v>
      </c>
      <c r="CB47" s="400" t="e">
        <f ca="1">$H47/BF47</f>
        <v>#VALUE!</v>
      </c>
      <c r="CC47" s="400" t="e">
        <f ca="1">$H47/BG47</f>
        <v>#VALUE!</v>
      </c>
      <c r="CD47" s="12">
        <v>8</v>
      </c>
      <c r="CE47" s="167">
        <v>7</v>
      </c>
      <c r="CF47" s="12">
        <v>7</v>
      </c>
      <c r="CG47" s="12">
        <v>7</v>
      </c>
      <c r="CH47" s="12">
        <v>7</v>
      </c>
      <c r="CI47" s="46">
        <v>92.895312267610592</v>
      </c>
      <c r="CJ47" s="46">
        <v>105.12150924735663</v>
      </c>
      <c r="CK47" s="46">
        <v>118.9866492934998</v>
      </c>
      <c r="CL47" s="46">
        <v>135.20340128122743</v>
      </c>
      <c r="CM47" s="46">
        <v>152.60937886512519</v>
      </c>
      <c r="CN47" s="19">
        <f t="shared" ref="CN47:CQ49" si="177">(CX47-DH47)/DC47</f>
        <v>77.506566353822208</v>
      </c>
      <c r="CO47" s="19">
        <f t="shared" si="177"/>
        <v>78.045916243460454</v>
      </c>
      <c r="CP47" s="19">
        <f t="shared" si="177"/>
        <v>89.154683063401521</v>
      </c>
      <c r="CQ47" s="19">
        <f t="shared" si="177"/>
        <v>101.91875829577174</v>
      </c>
      <c r="CR47" s="7"/>
      <c r="CS47" s="7"/>
      <c r="CT47" s="7"/>
      <c r="CU47" s="7"/>
      <c r="CV47" s="7"/>
      <c r="CW47" s="7"/>
      <c r="CX47" s="41">
        <f t="shared" ref="CX47:DA49" si="178">CD47*AL47</f>
        <v>11657.092840073978</v>
      </c>
      <c r="CY47" s="41">
        <f t="shared" si="178"/>
        <v>11477.904612373146</v>
      </c>
      <c r="CZ47" s="41">
        <f t="shared" si="178"/>
        <v>12858.591014013538</v>
      </c>
      <c r="DA47" s="41">
        <f t="shared" si="178"/>
        <v>14341.084059800165</v>
      </c>
      <c r="DB47" s="19"/>
      <c r="DC47" s="40">
        <v>160.49985730609669</v>
      </c>
      <c r="DD47" s="40">
        <v>157.09476168012154</v>
      </c>
      <c r="DE47" s="40">
        <v>153.00700473930979</v>
      </c>
      <c r="DF47" s="40">
        <v>148.39058395816033</v>
      </c>
      <c r="DG47" s="40">
        <v>143.41422464374998</v>
      </c>
      <c r="DH47" s="40">
        <v>-782.7</v>
      </c>
      <c r="DI47" s="40">
        <v>-782.7</v>
      </c>
      <c r="DJ47" s="40">
        <v>-782.7</v>
      </c>
      <c r="DK47" s="40">
        <v>-782.7</v>
      </c>
      <c r="DL47" s="40">
        <v>-782.7</v>
      </c>
      <c r="DM47" s="7"/>
      <c r="DN47" s="7"/>
      <c r="DO47" s="7"/>
      <c r="DP47" s="7"/>
      <c r="DQ47" s="7"/>
      <c r="DR47" s="7"/>
      <c r="DS47" s="7"/>
      <c r="DT47" s="78" t="e">
        <f ca="1">_xlfn.RRI(DT$2,$H47,CN47+$DO47*$DT$2)</f>
        <v>#VALUE!</v>
      </c>
      <c r="DU47" s="78" t="e">
        <f ca="1">_xlfn.RRI(DU$2,$H47,CO47+$DO47*$DT$2+SUM($DP47:DP47))</f>
        <v>#VALUE!</v>
      </c>
      <c r="DV47" s="6" t="e">
        <f ca="1">_xlfn.RRI(DV$2,$H47,CP47+$DO47*$DT$2+SUM($DP47:DQ47))</f>
        <v>#VALUE!</v>
      </c>
      <c r="DW47" s="6" t="e">
        <f ca="1">_xlfn.RRI(DW$2,$H47,CQ47+$DO47*$DT$2+SUM($DP47:DR47))</f>
        <v>#VALUE!</v>
      </c>
      <c r="DX47" s="171" t="e">
        <f ca="1">SUM(CN47,$DO47:DO47)/$H47</f>
        <v>#VALUE!</v>
      </c>
      <c r="DY47" s="132" t="e">
        <f ca="1">SUM(CO47,$DO47:DP47)/$H47</f>
        <v>#VALUE!</v>
      </c>
      <c r="DZ47" s="132" t="e">
        <f ca="1">SUM(CP47,$DO47:DQ47)/$H47</f>
        <v>#VALUE!</v>
      </c>
      <c r="EA47" s="132" t="e">
        <f ca="1">SUM(CQ47,$DO47:DR47)/$H47</f>
        <v>#VALUE!</v>
      </c>
      <c r="EB47" s="78" cm="1">
        <f t="array" ref="EB47">_xll.BDP(""&amp;$B47&amp;"","CHG_PCT_1M")/100</f>
        <v>-0.11467719999999999</v>
      </c>
      <c r="EC47" s="6" cm="1">
        <f t="array" ref="EC47">_xll.BDP(""&amp;$B47&amp;"","CHG_PCT_3M")/100</f>
        <v>-0.19955880000000001</v>
      </c>
      <c r="ED47" s="194" cm="1">
        <f t="array" ref="ED47">_xll.BDP(""&amp;$B47&amp;"","CHG_PCT_6M")/100</f>
        <v>-0.39127630000000002</v>
      </c>
      <c r="EE47" s="363">
        <f ca="1">_xlfn.RRI(2+$DT$2,$DT$2*S47+(1-$DT$2)*T47,V47)</f>
        <v>0.11940701715936086</v>
      </c>
      <c r="EF47" s="188"/>
      <c r="EG47" s="188"/>
      <c r="EH47" s="6">
        <f ca="1">-_xlfn.RRI(2+$DT$2,$DT$2*DC47+(1-$DT$2)*DD47,DF47)</f>
        <v>2.6620729072337146E-2</v>
      </c>
      <c r="EI47" s="363">
        <f ca="1">EH47+EE47</f>
        <v>0.14602774623169801</v>
      </c>
      <c r="EJ47" s="6" t="e">
        <f ca="1">EK47-EI47</f>
        <v>#VALUE!</v>
      </c>
      <c r="EK47" s="194" t="e">
        <f t="shared" ref="EK47:EK51" ca="1" si="179">DV47</f>
        <v>#VALUE!</v>
      </c>
      <c r="EL47" s="6">
        <f>_xlfn.RRI(3,AK47,AN47)</f>
        <v>0.12783554817174836</v>
      </c>
      <c r="EM47" s="235" t="s">
        <v>24</v>
      </c>
      <c r="EN47" s="163" cm="1">
        <f t="array" ref="EN47">_xll.BDP(B47,"AVG_DAILY_VALUE_TRADED_3M")/10^6</f>
        <v>129.053088</v>
      </c>
      <c r="EQ47" s="361">
        <f ca="1">IFERROR(AVERAGE(DP47:DQ47)/H47,0)</f>
        <v>0</v>
      </c>
      <c r="ER47" s="361">
        <f ca="1">_xlfn.RRI(2+$DT$2,$DT$2*(BC47)+(1-$DT$2)*(BD47),(BF47))</f>
        <v>0.7254269301224574</v>
      </c>
      <c r="ES47" s="127">
        <f t="shared" ref="ES47:ES51" ca="1" si="180">ER47-EG47+EQ47</f>
        <v>0.7254269301224574</v>
      </c>
      <c r="EU47" s="361" t="e">
        <f ca="1">_xlfn.RRI(2+$DT$2,($DT$2*BY47+(1-$DT$2)*BZ47),CF47)</f>
        <v>#VALUE!</v>
      </c>
      <c r="EX47" s="292" cm="1">
        <f t="array" ref="EX47">_xll.BQL("PCOR US Equity", "IS_COMP_SALES/1M", "FPT=A", "FPr="&amp;EX5&amp;"", "ACT_EST_MAPPING=PRECISE", "FS=MRC", "CURRENCY=USD", "XLFILL=b")</f>
        <v>1502.909090909091</v>
      </c>
      <c r="EY47" s="292" cm="1">
        <f t="array" ref="EY47">_xll.BQL("PCOR US Equity", "IS_COMP_SALES/1M", "FPT=A", "FPr="&amp;EY5&amp;"", "ACT_EST_MAPPING=PRECISE", "FS=MRC", "CURRENCY=USD", "XLFILL=b")</f>
        <v>1699.8181818181818</v>
      </c>
      <c r="EZ47" s="292" cm="1">
        <f t="array" ref="EZ47">_xll.BQL("PCOR US Equity", "IS_COMP_SALES/1M", "FPT=A", "FPr="&amp;EZ5&amp;"", "ACT_EST_MAPPING=PRECISE", "FS=MRC", "CURRENCY=USD", "XLFILL=b")</f>
        <v>1941.5</v>
      </c>
      <c r="FA47" s="292" cm="1">
        <f t="array" ref="FA47">_xll.BQL("PCOR US Equity", "IS_COMP_SALES/1M", "FPT=A", "FPr="&amp;FA5&amp;"", "ACT_EST_MAPPING=PRECISE", "FS=MRC", "CURRENCY=USD", "XLFILL=b")</f>
        <v>2128.5</v>
      </c>
      <c r="FB47" s="351">
        <f t="shared" ref="FB47:FE48" si="181">S47/EX47-1</f>
        <v>3.1613150254052869E-3</v>
      </c>
      <c r="FC47" s="351">
        <f t="shared" si="181"/>
        <v>2.2578367632901664E-3</v>
      </c>
      <c r="FD47" s="351">
        <f t="shared" si="181"/>
        <v>-1.7205858843162392E-2</v>
      </c>
      <c r="FE47" s="351">
        <f t="shared" si="181"/>
        <v>-4.5772612758265829E-4</v>
      </c>
      <c r="FF47" s="296">
        <v>7.0000000000000007E-2</v>
      </c>
      <c r="FG47" s="296">
        <v>-0.06</v>
      </c>
      <c r="FH47" s="295">
        <f t="shared" ref="FH47:FH51" si="182">FF47-FG47</f>
        <v>0.13</v>
      </c>
      <c r="FI47" s="298">
        <f t="shared" ref="FI47:FI51" si="183">FT47/CF47-1</f>
        <v>0.4285714285714286</v>
      </c>
      <c r="FJ47" s="298">
        <f t="shared" ref="FJ47:FJ51" si="184">FU47/CF47-1</f>
        <v>-0.2857142857142857</v>
      </c>
      <c r="FK47" s="295">
        <f t="shared" ref="FK47:FK51" si="185">FI47-FJ47</f>
        <v>0.7142857142857143</v>
      </c>
      <c r="FL47" s="15">
        <f t="shared" ref="FL47:FL51" si="186">FF47+FG47</f>
        <v>1.0000000000000009E-2</v>
      </c>
      <c r="FM47" s="15">
        <f t="shared" ref="FM47:FM51" si="187">FJ47+FI47</f>
        <v>0.1428571428571429</v>
      </c>
      <c r="FN47" s="15" t="e">
        <f t="shared" ref="FN47:FN51" ca="1" si="188">EK47+FF47/3+FI47/3</f>
        <v>#VALUE!</v>
      </c>
      <c r="FO47" s="15" t="e">
        <f t="shared" ref="FO47:FO51" ca="1" si="189">EK47+FG47/3+FJ47/3</f>
        <v>#VALUE!</v>
      </c>
      <c r="FP47" s="300" t="e">
        <f t="shared" ref="FP47:FP51" ca="1" si="190">EK47+FL47/3+FM47/3</f>
        <v>#VALUE!</v>
      </c>
      <c r="FQ47" s="15" t="e">
        <f t="shared" ref="FQ47:FQ51" ca="1" si="191">EK47</f>
        <v>#VALUE!</v>
      </c>
      <c r="FR47" s="300" t="e">
        <f t="shared" ref="FR47:FR51" ca="1" si="192">FP47-FQ47</f>
        <v>#VALUE!</v>
      </c>
      <c r="FS47" s="15" t="e">
        <f t="shared" ref="FS47:FS51" ca="1" si="193">FN47-FO47</f>
        <v>#VALUE!</v>
      </c>
      <c r="FT47" s="294">
        <v>10</v>
      </c>
      <c r="FU47" s="294">
        <v>5</v>
      </c>
    </row>
    <row r="48" spans="2:177" x14ac:dyDescent="0.25">
      <c r="B48" s="10" t="s">
        <v>139</v>
      </c>
      <c r="C48" s="10"/>
      <c r="D48" s="38" t="s">
        <v>140</v>
      </c>
      <c r="E48" s="392"/>
      <c r="F48" s="393">
        <v>46119</v>
      </c>
      <c r="G48" s="394"/>
      <c r="H48" s="395" t="str" cm="1">
        <f t="array" aca="1" ref="H48" ca="1">_xll.BQL($B48, "px_last", "dates=" &amp; _xll.BQL.DATE($D$2))</f>
        <v>#N/A Connection</v>
      </c>
      <c r="I48" s="25">
        <v>94.113302000000004</v>
      </c>
      <c r="J48" s="25">
        <v>-429.35199999999998</v>
      </c>
      <c r="K48" s="2"/>
      <c r="L48" s="2"/>
      <c r="M48" s="80">
        <f t="shared" si="174"/>
        <v>-429.35199999999998</v>
      </c>
      <c r="N48" s="80" t="e">
        <f t="shared" ca="1" si="175"/>
        <v>#VALUE!</v>
      </c>
      <c r="O48" s="396">
        <v>467.73400000000004</v>
      </c>
      <c r="P48" s="396">
        <v>614.34100000000001</v>
      </c>
      <c r="Q48" s="396">
        <v>771.87800000000004</v>
      </c>
      <c r="R48" s="396">
        <v>960.96500000000003</v>
      </c>
      <c r="S48" s="396">
        <v>1170.439939747514</v>
      </c>
      <c r="T48" s="396">
        <v>1410.8054914574941</v>
      </c>
      <c r="U48" s="396">
        <v>1660.2375838794474</v>
      </c>
      <c r="V48" s="396">
        <v>1947.3317356222967</v>
      </c>
      <c r="W48" s="396">
        <v>2257.7346876447373</v>
      </c>
      <c r="X48" s="135"/>
      <c r="Y48" s="135"/>
      <c r="Z48" s="135"/>
      <c r="AA48" s="135"/>
      <c r="AB48" s="135"/>
      <c r="AC48" s="135"/>
      <c r="AD48" s="135"/>
      <c r="AE48" s="135"/>
      <c r="AF48" s="135"/>
      <c r="AG48" s="397">
        <v>297.19200000000006</v>
      </c>
      <c r="AH48" s="397">
        <v>417.61900000000003</v>
      </c>
      <c r="AI48" s="397">
        <v>543.25900000000001</v>
      </c>
      <c r="AJ48" s="397">
        <v>711.48300000000006</v>
      </c>
      <c r="AK48" s="397">
        <v>879.37455498927886</v>
      </c>
      <c r="AL48" s="397">
        <v>1078.9008431505194</v>
      </c>
      <c r="AM48" s="397">
        <v>1288.18817168386</v>
      </c>
      <c r="AN48" s="397">
        <v>1530.7204234585897</v>
      </c>
      <c r="AO48" s="397">
        <v>1795.2715058461822</v>
      </c>
      <c r="AP48" s="398">
        <v>-5.203586289454587</v>
      </c>
      <c r="AQ48" s="398">
        <v>-2.2611508037768564</v>
      </c>
      <c r="AR48" s="398">
        <v>0.3923978218753516</v>
      </c>
      <c r="AS48" s="398">
        <v>1.1008490171527545</v>
      </c>
      <c r="AT48" s="398">
        <v>1.7962606313202718</v>
      </c>
      <c r="AU48" s="398">
        <v>2.7051748553728685</v>
      </c>
      <c r="AV48" s="398">
        <v>3.8034995064677122</v>
      </c>
      <c r="AW48" s="399">
        <v>5.1971524834482263</v>
      </c>
      <c r="AX48" s="399">
        <v>6.8610889919926468</v>
      </c>
      <c r="AY48" s="395">
        <v>-7.1522427803023527</v>
      </c>
      <c r="AZ48" s="395">
        <v>-5.5200758305072126</v>
      </c>
      <c r="BA48" s="395">
        <v>-3.0958692526077343</v>
      </c>
      <c r="BB48" s="395">
        <v>-0.94337005035610011</v>
      </c>
      <c r="BC48" s="395">
        <v>-0.49851227448575247</v>
      </c>
      <c r="BD48" s="395">
        <v>0.24276289838453169</v>
      </c>
      <c r="BE48" s="395">
        <v>1.2372220961362883</v>
      </c>
      <c r="BF48" s="421">
        <v>2.4508639132160455</v>
      </c>
      <c r="BG48" s="421">
        <v>3.8433138512021121</v>
      </c>
      <c r="BH48" s="400" t="e">
        <f ca="1">$N48/Q48</f>
        <v>#VALUE!</v>
      </c>
      <c r="BI48" s="400" t="e">
        <f ca="1">$N48/R48</f>
        <v>#VALUE!</v>
      </c>
      <c r="BJ48" s="400" t="e">
        <f ca="1">$N48/S48</f>
        <v>#VALUE!</v>
      </c>
      <c r="BK48" s="400" t="e">
        <f ca="1">$N48/T48</f>
        <v>#VALUE!</v>
      </c>
      <c r="BL48" s="400" t="e">
        <f ca="1">$N48/U48</f>
        <v>#VALUE!</v>
      </c>
      <c r="BM48" s="400" t="e">
        <f ca="1">$N48/V48</f>
        <v>#VALUE!</v>
      </c>
      <c r="BN48" s="400" t="e">
        <f ca="1">$N48/W48</f>
        <v>#VALUE!</v>
      </c>
      <c r="BO48" s="400" t="e">
        <f ca="1">$N48/AK48</f>
        <v>#VALUE!</v>
      </c>
      <c r="BP48" s="400" t="e">
        <f ca="1">$N48/AL48</f>
        <v>#VALUE!</v>
      </c>
      <c r="BQ48" s="400" t="e">
        <f ca="1">$N48/AM48</f>
        <v>#VALUE!</v>
      </c>
      <c r="BR48" s="400" t="e">
        <f ca="1">$N48/AN48</f>
        <v>#VALUE!</v>
      </c>
      <c r="BS48" s="400" t="e">
        <f ca="1">$N48/AO48</f>
        <v>#VALUE!</v>
      </c>
      <c r="BT48" s="400" t="e">
        <f ca="1">$H48/AT48</f>
        <v>#VALUE!</v>
      </c>
      <c r="BU48" s="400" t="e">
        <f ca="1">$H48/AU48</f>
        <v>#VALUE!</v>
      </c>
      <c r="BV48" s="400" t="e">
        <f ca="1">$H48/AV48</f>
        <v>#VALUE!</v>
      </c>
      <c r="BW48" s="400" t="e">
        <f ca="1">$H48/AW48</f>
        <v>#VALUE!</v>
      </c>
      <c r="BX48" s="400" t="e">
        <f ca="1">$H48/AX48</f>
        <v>#VALUE!</v>
      </c>
      <c r="BY48" s="199" t="s">
        <v>24</v>
      </c>
      <c r="BZ48" s="400" t="e">
        <f ca="1">$H48/BD48</f>
        <v>#VALUE!</v>
      </c>
      <c r="CA48" s="400" t="e">
        <f ca="1">$H48/BE48</f>
        <v>#VALUE!</v>
      </c>
      <c r="CB48" s="400" t="e">
        <f ca="1">$H48/BF48</f>
        <v>#VALUE!</v>
      </c>
      <c r="CC48" s="400" t="e">
        <f ca="1">$H48/BG48</f>
        <v>#VALUE!</v>
      </c>
      <c r="CD48" s="12">
        <v>7</v>
      </c>
      <c r="CE48" s="167">
        <v>7</v>
      </c>
      <c r="CF48" s="12">
        <v>7</v>
      </c>
      <c r="CG48" s="12">
        <v>7</v>
      </c>
      <c r="CH48" s="12">
        <v>8</v>
      </c>
      <c r="CI48" s="46"/>
      <c r="CJ48" s="46"/>
      <c r="CK48" s="46"/>
      <c r="CL48" s="46"/>
      <c r="CM48" s="46"/>
      <c r="CN48" s="19">
        <f t="shared" si="177"/>
        <v>84.532908084312453</v>
      </c>
      <c r="CO48" s="19">
        <f t="shared" si="177"/>
        <v>99.854469574667561</v>
      </c>
      <c r="CP48" s="19">
        <f t="shared" si="177"/>
        <v>118.70166090526678</v>
      </c>
      <c r="CQ48" s="19">
        <f t="shared" si="177"/>
        <v>140.8555156121632</v>
      </c>
      <c r="CR48" s="7"/>
      <c r="CS48" s="7"/>
      <c r="CT48" s="7"/>
      <c r="CU48" s="7"/>
      <c r="CV48" s="7"/>
      <c r="CW48" s="7"/>
      <c r="CX48" s="41">
        <f t="shared" si="178"/>
        <v>7552.3059020536366</v>
      </c>
      <c r="CY48" s="41">
        <f t="shared" si="178"/>
        <v>9017.3172017870202</v>
      </c>
      <c r="CZ48" s="41">
        <f t="shared" si="178"/>
        <v>10715.042964210128</v>
      </c>
      <c r="DA48" s="41">
        <f t="shared" si="178"/>
        <v>12566.900540923276</v>
      </c>
      <c r="DB48" s="19"/>
      <c r="DC48" s="40">
        <v>94.420718308812866</v>
      </c>
      <c r="DD48" s="40">
        <v>94.60437016014734</v>
      </c>
      <c r="DE48" s="40">
        <v>93.885754244873027</v>
      </c>
      <c r="DF48" s="40">
        <v>92.266550475081431</v>
      </c>
      <c r="DG48" s="40">
        <v>89.868676795287769</v>
      </c>
      <c r="DH48" s="40">
        <v>-429.35199999999998</v>
      </c>
      <c r="DI48" s="40">
        <v>-429.35199999999998</v>
      </c>
      <c r="DJ48" s="40">
        <v>-429.35199999999998</v>
      </c>
      <c r="DK48" s="40">
        <v>-429.35199999999998</v>
      </c>
      <c r="DL48" s="40">
        <v>-429.35199999999998</v>
      </c>
      <c r="DM48" s="7"/>
      <c r="DN48" s="7"/>
      <c r="DO48" s="7"/>
      <c r="DP48" s="7"/>
      <c r="DQ48" s="7"/>
      <c r="DR48" s="7"/>
      <c r="DS48" s="7"/>
      <c r="DT48" s="78" t="e">
        <f ca="1">_xlfn.RRI(DT$2,$H48,CN48+$DO48*$DT$2)</f>
        <v>#VALUE!</v>
      </c>
      <c r="DU48" s="78" t="e">
        <f ca="1">_xlfn.RRI(DU$2,$H48,CO48+$DO48*$DT$2+SUM($DP48:DP48))</f>
        <v>#VALUE!</v>
      </c>
      <c r="DV48" s="6" t="e">
        <f ca="1">_xlfn.RRI(DV$2,$H48,CP48+$DO48*$DT$2+SUM($DP48:DQ48))</f>
        <v>#VALUE!</v>
      </c>
      <c r="DW48" s="6" t="e">
        <f ca="1">_xlfn.RRI(DW$2,$H48,CQ48+$DO48*$DT$2+SUM($DP48:DR48))</f>
        <v>#VALUE!</v>
      </c>
      <c r="DX48" s="171" t="e">
        <f ca="1">SUM(CN48,$DO48:DO48)/$H48</f>
        <v>#VALUE!</v>
      </c>
      <c r="DY48" s="132" t="e">
        <f ca="1">SUM(CO48,$DO48:DP48)/$H48</f>
        <v>#VALUE!</v>
      </c>
      <c r="DZ48" s="132" t="e">
        <f ca="1">SUM(CP48,$DO48:DQ48)/$H48</f>
        <v>#VALUE!</v>
      </c>
      <c r="EA48" s="132" t="e">
        <f ca="1">SUM(CQ48,$DO48:DR48)/$H48</f>
        <v>#VALUE!</v>
      </c>
      <c r="EB48" s="78" cm="1">
        <f t="array" ref="EB48">_xll.BDP(""&amp;$B48&amp;"","CHG_PCT_1M")/100</f>
        <v>0.1548223</v>
      </c>
      <c r="EC48" s="6" cm="1">
        <f t="array" ref="EC48">_xll.BDP(""&amp;$B48&amp;"","CHG_PCT_3M")/100</f>
        <v>-0.12236280000000001</v>
      </c>
      <c r="ED48" s="194" cm="1">
        <f t="array" ref="ED48">_xll.BDP(""&amp;$B48&amp;"","CHG_PCT_6M")/100</f>
        <v>-0.32617550000000001</v>
      </c>
      <c r="EE48" s="363">
        <f ca="1">_xlfn.RRI(2+$DT$2,$DT$2*S48+(1-$DT$2)*T48,V48)</f>
        <v>0.17946087603090111</v>
      </c>
      <c r="EF48" s="188"/>
      <c r="EG48" s="188"/>
      <c r="EH48" s="6">
        <f ca="1">-_xlfn.RRI(2+$DT$2,$DT$2*DC48+(1-$DT$2)*DD48,DF48)</f>
        <v>9.3105570636654589E-3</v>
      </c>
      <c r="EI48" s="363">
        <f ca="1">EH48+EE48</f>
        <v>0.18877143309456657</v>
      </c>
      <c r="EJ48" s="6" t="e">
        <f ca="1">EK48-EI48</f>
        <v>#VALUE!</v>
      </c>
      <c r="EK48" s="194" t="e">
        <f t="shared" ca="1" si="179"/>
        <v>#VALUE!</v>
      </c>
      <c r="EL48" s="6">
        <f>_xlfn.RRI(3,AK48,AN48)</f>
        <v>0.20293084383451099</v>
      </c>
      <c r="EM48" s="235" t="s">
        <v>24</v>
      </c>
      <c r="EN48" s="163" cm="1">
        <f t="array" ref="EN48">_xll.BDP(B48,"AVG_DAILY_VALUE_TRADED_3M")/10^6</f>
        <v>86.634591999999998</v>
      </c>
      <c r="EQ48" s="361">
        <f ca="1">IFERROR(AVERAGE(DP48:DQ48)/H48,0)</f>
        <v>0</v>
      </c>
      <c r="ER48" s="361" t="e">
        <f ca="1">_xlfn.RRI(2+$DT$2,$DT$2*(BC48)+(1-$DT$2)*(BD48),(BF48))</f>
        <v>#NUM!</v>
      </c>
      <c r="ES48" s="127" t="e">
        <f t="shared" ca="1" si="180"/>
        <v>#NUM!</v>
      </c>
      <c r="EU48" s="361" t="e">
        <f ca="1">_xlfn.RRI(2+$DT$2,($DT$2*BY48+(1-$DT$2)*BZ48),CF48)</f>
        <v>#VALUE!</v>
      </c>
      <c r="EX48" s="292" cm="1">
        <f t="array" ref="EX48">_xll.BQL("TTAN US Equity", "IS_COMP_SALES/1M", "FPT=A", "FPr="&amp;EX5+1&amp;"", "ACT_EST_MAPPING=PRECISE", "FS=MRC", "CURRENCY=USD", "XLFILL=b")</f>
        <v>1136.9411764705883</v>
      </c>
      <c r="EY48" s="292" cm="1">
        <f t="array" ref="EY48">_xll.BQL("TTAN US Equity", "IS_COMP_SALES/1M", "FPT=A", "FPr="&amp;EY5+1&amp;"", "ACT_EST_MAPPING=PRECISE", "FS=MRC", "CURRENCY=USD", "XLFILL=b")</f>
        <v>1302.8333333333333</v>
      </c>
      <c r="EZ48" s="292" cm="1">
        <f t="array" ref="EZ48">_xll.BQL("TTAN US Equity", "IS_COMP_SALES/1M", "FPT=A", "FPr="&amp;EZ5+1&amp;"", "ACT_EST_MAPPING=PRECISE", "FS=MRC", "CURRENCY=USD", "XLFILL=b")</f>
        <v>1509.6666666666667</v>
      </c>
      <c r="FA48" s="292" cm="1">
        <f t="array" ref="FA48">_xll.BQL("TTAN US Equity", "IS_COMP_SALES/1M", "FPT=A", "FPr="&amp;FA5+1&amp;"", "ACT_EST_MAPPING=PRECISE", "FS=MRC", "CURRENCY=USD", "XLFILL=b")</f>
        <v>1787</v>
      </c>
      <c r="FB48" s="351">
        <f t="shared" si="181"/>
        <v>2.9463937070971502E-2</v>
      </c>
      <c r="FC48" s="351">
        <f t="shared" si="181"/>
        <v>8.2874881507607245E-2</v>
      </c>
      <c r="FD48" s="351">
        <f t="shared" si="181"/>
        <v>9.9737856400605285E-2</v>
      </c>
      <c r="FE48" s="351">
        <f t="shared" si="181"/>
        <v>8.9721172704139152E-2</v>
      </c>
      <c r="FF48" s="296">
        <v>0.1</v>
      </c>
      <c r="FG48" s="296">
        <v>-0.1</v>
      </c>
      <c r="FH48" s="295">
        <f t="shared" si="182"/>
        <v>0.2</v>
      </c>
      <c r="FI48" s="298">
        <f t="shared" si="183"/>
        <v>0.28571428571428581</v>
      </c>
      <c r="FJ48" s="298">
        <f t="shared" si="184"/>
        <v>-0.4285714285714286</v>
      </c>
      <c r="FK48" s="295">
        <f t="shared" si="185"/>
        <v>0.71428571428571441</v>
      </c>
      <c r="FL48" s="15">
        <f t="shared" si="186"/>
        <v>0</v>
      </c>
      <c r="FM48" s="15">
        <f t="shared" si="187"/>
        <v>-0.14285714285714279</v>
      </c>
      <c r="FN48" s="15" t="e">
        <f t="shared" ca="1" si="188"/>
        <v>#VALUE!</v>
      </c>
      <c r="FO48" s="15" t="e">
        <f t="shared" ca="1" si="189"/>
        <v>#VALUE!</v>
      </c>
      <c r="FP48" s="300" t="e">
        <f t="shared" ca="1" si="190"/>
        <v>#VALUE!</v>
      </c>
      <c r="FQ48" s="15" t="e">
        <f t="shared" ca="1" si="191"/>
        <v>#VALUE!</v>
      </c>
      <c r="FR48" s="300" t="e">
        <f t="shared" ca="1" si="192"/>
        <v>#VALUE!</v>
      </c>
      <c r="FS48" s="15" t="e">
        <f t="shared" ca="1" si="193"/>
        <v>#VALUE!</v>
      </c>
      <c r="FT48" s="294">
        <v>9</v>
      </c>
      <c r="FU48" s="294">
        <v>4</v>
      </c>
    </row>
    <row r="49" spans="2:178" x14ac:dyDescent="0.25">
      <c r="B49" s="10" t="s">
        <v>77</v>
      </c>
      <c r="C49" s="10"/>
      <c r="D49" s="38" t="s">
        <v>76</v>
      </c>
      <c r="E49" s="392"/>
      <c r="F49" s="393">
        <v>46054</v>
      </c>
      <c r="G49" s="392"/>
      <c r="H49" s="411" t="str" cm="1">
        <f t="array" aca="1" ref="H49" ca="1">_xll.BQL($B49, "px_last", "dates=" &amp; _xll.BQL.DATE($D$2))</f>
        <v>#N/A Connection</v>
      </c>
      <c r="I49" s="25">
        <v>86.451736999999994</v>
      </c>
      <c r="J49" s="25">
        <v>-1410.4560000000001</v>
      </c>
      <c r="K49" s="2">
        <v>704.5</v>
      </c>
      <c r="L49" s="392"/>
      <c r="M49" s="80">
        <f t="shared" si="174"/>
        <v>-705.95600000000013</v>
      </c>
      <c r="N49" s="81" t="e">
        <f t="shared" ca="1" si="175"/>
        <v>#VALUE!</v>
      </c>
      <c r="O49" s="396">
        <v>612.74900000000002</v>
      </c>
      <c r="P49" s="396">
        <v>752.47399999999993</v>
      </c>
      <c r="Q49" s="396">
        <v>971.54299999999989</v>
      </c>
      <c r="R49" s="396">
        <v>1188.6633999999999</v>
      </c>
      <c r="S49" s="396">
        <v>1394.7843379999999</v>
      </c>
      <c r="T49" s="396">
        <v>1657.59234956</v>
      </c>
      <c r="U49" s="396">
        <v>1941.5146442471751</v>
      </c>
      <c r="V49" s="396">
        <v>2243.9025321750023</v>
      </c>
      <c r="W49" s="396">
        <v>2585.5299222196718</v>
      </c>
      <c r="X49" s="21">
        <v>0.69387302141659957</v>
      </c>
      <c r="Y49" s="21">
        <v>0.74583640099192794</v>
      </c>
      <c r="Z49" s="21">
        <v>0.78985644485112849</v>
      </c>
      <c r="AA49" s="21">
        <v>0.80051716440499476</v>
      </c>
      <c r="AB49" s="21">
        <v>0.8015486845560279</v>
      </c>
      <c r="AC49" s="21">
        <v>0.80545120605167109</v>
      </c>
      <c r="AD49" s="21">
        <v>0.80912614681127659</v>
      </c>
      <c r="AE49" s="21">
        <v>0.81402539575870303</v>
      </c>
      <c r="AF49" s="21">
        <v>0.82065591358786527</v>
      </c>
      <c r="AG49" s="419">
        <f t="shared" ref="AG49:AO51" si="194">X49*O49</f>
        <v>425.16999999999996</v>
      </c>
      <c r="AH49" s="419">
        <f t="shared" si="194"/>
        <v>561.22249999999997</v>
      </c>
      <c r="AI49" s="419">
        <f t="shared" si="194"/>
        <v>767.37949999999989</v>
      </c>
      <c r="AJ49" s="419">
        <f t="shared" si="194"/>
        <v>951.54545439999993</v>
      </c>
      <c r="AK49" s="419">
        <f t="shared" si="194"/>
        <v>1117.9875513632501</v>
      </c>
      <c r="AL49" s="419">
        <f t="shared" si="194"/>
        <v>1335.1097570951251</v>
      </c>
      <c r="AM49" s="419">
        <f t="shared" si="194"/>
        <v>1570.9302630773832</v>
      </c>
      <c r="AN49" s="419">
        <f t="shared" si="194"/>
        <v>1826.5936467977122</v>
      </c>
      <c r="AO49" s="419">
        <f t="shared" si="194"/>
        <v>2121.830420427947</v>
      </c>
      <c r="AP49" s="399">
        <v>-7.7699242166049065E-2</v>
      </c>
      <c r="AQ49" s="399">
        <v>0.83215138099939279</v>
      </c>
      <c r="AR49" s="399">
        <v>1.9816447712180301</v>
      </c>
      <c r="AS49" s="399">
        <v>2.6954669862958989</v>
      </c>
      <c r="AT49" s="399">
        <v>3.2782003160065774</v>
      </c>
      <c r="AU49" s="399">
        <v>4.4782619898077254</v>
      </c>
      <c r="AV49" s="399">
        <v>6.0385589023121859</v>
      </c>
      <c r="AW49" s="399">
        <v>8.1300409651683001</v>
      </c>
      <c r="AX49" s="399">
        <v>10.871193975085561</v>
      </c>
      <c r="AY49" s="399">
        <v>-0.97359042371200832</v>
      </c>
      <c r="AZ49" s="399">
        <v>-0.22880869176027729</v>
      </c>
      <c r="BA49" s="399">
        <v>0.43081055984367345</v>
      </c>
      <c r="BB49" s="399">
        <v>1.1166603050811792</v>
      </c>
      <c r="BC49" s="399">
        <v>1.6426499281795595</v>
      </c>
      <c r="BD49" s="399">
        <v>2.7167351470236065</v>
      </c>
      <c r="BE49" s="399">
        <v>4.1543467249529211</v>
      </c>
      <c r="BF49" s="399">
        <v>6.1252537387228525</v>
      </c>
      <c r="BG49" s="399">
        <v>8.6079472903731347</v>
      </c>
      <c r="BH49" s="400" t="e">
        <f ca="1">$N49/Q49</f>
        <v>#VALUE!</v>
      </c>
      <c r="BI49" s="400" t="e">
        <f ca="1">$N49/R49</f>
        <v>#VALUE!</v>
      </c>
      <c r="BJ49" s="400" t="e">
        <f ca="1">$N49/S49</f>
        <v>#VALUE!</v>
      </c>
      <c r="BK49" s="400" t="e">
        <f ca="1">$N49/T49</f>
        <v>#VALUE!</v>
      </c>
      <c r="BL49" s="400" t="e">
        <f ca="1">$N49/U49</f>
        <v>#VALUE!</v>
      </c>
      <c r="BM49" s="400" t="e">
        <f ca="1">$N49/V49</f>
        <v>#VALUE!</v>
      </c>
      <c r="BN49" s="400" t="e">
        <f ca="1">$N49/W49</f>
        <v>#VALUE!</v>
      </c>
      <c r="BO49" s="400" t="e">
        <f ca="1">$N49/AK49*0.9</f>
        <v>#VALUE!</v>
      </c>
      <c r="BP49" s="400" t="e">
        <f ca="1">$N49/AL49*0.9</f>
        <v>#VALUE!</v>
      </c>
      <c r="BQ49" s="400" t="e">
        <f ca="1">$N49/AM49*0.9</f>
        <v>#VALUE!</v>
      </c>
      <c r="BR49" s="400" t="e">
        <f ca="1">$N49/AN49*0.9</f>
        <v>#VALUE!</v>
      </c>
      <c r="BS49" s="400" t="e">
        <f ca="1">$N49/AO49*0.9</f>
        <v>#VALUE!</v>
      </c>
      <c r="BT49" s="400" t="e">
        <f ca="1">$H49/AT49</f>
        <v>#VALUE!</v>
      </c>
      <c r="BU49" s="400" t="e">
        <f ca="1">$H49/AU49</f>
        <v>#VALUE!</v>
      </c>
      <c r="BV49" s="400" t="e">
        <f ca="1">$H49/AV49</f>
        <v>#VALUE!</v>
      </c>
      <c r="BW49" s="400" t="e">
        <f ca="1">$H49/AW49</f>
        <v>#VALUE!</v>
      </c>
      <c r="BX49" s="400" t="e">
        <f ca="1">$H49/AX49</f>
        <v>#VALUE!</v>
      </c>
      <c r="BY49" s="199" t="s">
        <v>24</v>
      </c>
      <c r="BZ49" s="400" t="e">
        <f ca="1">$H49/BD49</f>
        <v>#VALUE!</v>
      </c>
      <c r="CA49" s="400" t="e">
        <f ca="1">$H49/BE49</f>
        <v>#VALUE!</v>
      </c>
      <c r="CB49" s="400" t="e">
        <f ca="1">$H49/BF49</f>
        <v>#VALUE!</v>
      </c>
      <c r="CC49" s="400" t="e">
        <f ca="1">$H49/BG49</f>
        <v>#VALUE!</v>
      </c>
      <c r="CD49" s="12">
        <v>8.5</v>
      </c>
      <c r="CE49" s="167">
        <v>8.5</v>
      </c>
      <c r="CF49" s="12">
        <v>8.5</v>
      </c>
      <c r="CG49" s="12">
        <v>8.5</v>
      </c>
      <c r="CH49" s="82">
        <v>8.5</v>
      </c>
      <c r="CI49" s="46"/>
      <c r="CJ49" s="46"/>
      <c r="CK49" s="46"/>
      <c r="CL49" s="46"/>
      <c r="CM49" s="46"/>
      <c r="CN49" s="150">
        <f t="shared" si="177"/>
        <v>140.37143296678997</v>
      </c>
      <c r="CO49" s="150">
        <f t="shared" si="177"/>
        <v>166.39691050842487</v>
      </c>
      <c r="CP49" s="150">
        <f t="shared" si="177"/>
        <v>196.51476612841853</v>
      </c>
      <c r="CQ49" s="150">
        <f t="shared" si="177"/>
        <v>233.87843513530842</v>
      </c>
      <c r="CR49" s="7"/>
      <c r="CS49" s="7"/>
      <c r="CT49" s="7"/>
      <c r="CU49" s="7"/>
      <c r="CV49" s="7"/>
      <c r="CW49" s="7"/>
      <c r="CX49" s="41">
        <f t="shared" si="178"/>
        <v>11348.432935308563</v>
      </c>
      <c r="CY49" s="41">
        <f t="shared" si="178"/>
        <v>13352.907236157756</v>
      </c>
      <c r="CZ49" s="41">
        <f t="shared" si="178"/>
        <v>15526.045997780553</v>
      </c>
      <c r="DA49" s="41">
        <f t="shared" si="178"/>
        <v>18035.558573637551</v>
      </c>
      <c r="DB49" s="19"/>
      <c r="DC49" s="40">
        <v>85.874943929371113</v>
      </c>
      <c r="DD49" s="40">
        <v>84.489929489682083</v>
      </c>
      <c r="DE49" s="40">
        <v>82.599401142066142</v>
      </c>
      <c r="DF49" s="40">
        <v>80.133572651941179</v>
      </c>
      <c r="DG49" s="40"/>
      <c r="DH49" s="40">
        <v>-705.95600000000013</v>
      </c>
      <c r="DI49" s="40">
        <v>-705.95600000000013</v>
      </c>
      <c r="DJ49" s="40">
        <v>-705.95600000000013</v>
      </c>
      <c r="DK49" s="40">
        <v>-705.95600000000013</v>
      </c>
      <c r="DL49" s="40"/>
      <c r="DM49" s="7"/>
      <c r="DN49" s="7"/>
      <c r="DO49" s="7"/>
      <c r="DP49" s="7"/>
      <c r="DQ49" s="7"/>
      <c r="DR49" s="7"/>
      <c r="DS49" s="7"/>
      <c r="DT49" s="78" t="e">
        <f ca="1">_xlfn.RRI(DT$2,$H49,CN49+$DO49*$DT$2)</f>
        <v>#VALUE!</v>
      </c>
      <c r="DU49" s="78" t="e">
        <f ca="1">_xlfn.RRI(DU$2,$H49,CO49+$DO49*$DT$2+SUM($DP49:DP49))</f>
        <v>#VALUE!</v>
      </c>
      <c r="DV49" s="6" t="e">
        <f ca="1">_xlfn.RRI(DV$2,$H49,CP49+$DO49*$DT$2+SUM($DP49:DQ49))</f>
        <v>#VALUE!</v>
      </c>
      <c r="DW49" s="6" t="e">
        <f ca="1">_xlfn.RRI(DW$2,$H49,CQ49+$DO49*$DT$2+SUM($DP49:DR49))</f>
        <v>#VALUE!</v>
      </c>
      <c r="DX49" s="171" t="e">
        <f ca="1">SUM(CN49,$DO49:DO49)/$H49</f>
        <v>#VALUE!</v>
      </c>
      <c r="DY49" s="132" t="e">
        <f ca="1">SUM(CO49,$DO49:DP49)/$H49</f>
        <v>#VALUE!</v>
      </c>
      <c r="DZ49" s="132" t="e">
        <f ca="1">SUM(CP49,$DO49:DQ49)/$H49</f>
        <v>#VALUE!</v>
      </c>
      <c r="EA49" s="132" t="e">
        <f ca="1">SUM(CQ49,$DO49:DR49)/$H49</f>
        <v>#VALUE!</v>
      </c>
      <c r="EB49" s="78" cm="1">
        <f t="array" ref="EB49">_xll.BDP(""&amp;$B49&amp;"","CHG_PCT_1M")/100</f>
        <v>-6.8472350000000001E-2</v>
      </c>
      <c r="EC49" s="6" cm="1">
        <f t="array" ref="EC49">_xll.BDP(""&amp;$B49&amp;"","CHG_PCT_3M")/100</f>
        <v>-0.2362764</v>
      </c>
      <c r="ED49" s="194" cm="1">
        <f t="array" ref="ED49">_xll.BDP(""&amp;$B49&amp;"","CHG_PCT_6M")/100</f>
        <v>-0.35547229999999996</v>
      </c>
      <c r="EE49" s="363">
        <f ca="1">_xlfn.RRI(2+$DT$2,$DT$2*S49+(1-$DT$2)*T49,V49)</f>
        <v>0.16720542617656342</v>
      </c>
      <c r="EF49" s="188"/>
      <c r="EG49" s="188"/>
      <c r="EH49" s="188"/>
      <c r="EI49" s="188"/>
      <c r="EJ49" s="188"/>
      <c r="EK49" s="194" t="e">
        <f t="shared" ca="1" si="179"/>
        <v>#VALUE!</v>
      </c>
      <c r="EL49" s="6">
        <f>_xlfn.RRI(3,AK49,AN49)</f>
        <v>0.1777912539227946</v>
      </c>
      <c r="EM49" s="235">
        <f>_xlfn.RRI(3,BC49,BF49)</f>
        <v>0.55069488732657157</v>
      </c>
      <c r="EN49" s="163" cm="1">
        <f t="array" ref="EN49">_xll.BDP(B49,"AVG_DAILY_VALUE_TRADED_3M")/10^6</f>
        <v>217.82212799999999</v>
      </c>
      <c r="EQ49" s="361">
        <f ca="1">IFERROR(AVERAGE(DP49:DQ49)/H49,0)</f>
        <v>0</v>
      </c>
      <c r="ER49" s="361">
        <f ca="1">_xlfn.RRI(2+$DT$2,$DT$2*(BC49)+(1-$DT$2)*(BD49),(BF49))</f>
        <v>0.51481280415848119</v>
      </c>
      <c r="ES49" s="127">
        <f t="shared" ca="1" si="180"/>
        <v>0.51481280415848119</v>
      </c>
      <c r="EU49" s="361" t="e">
        <f ca="1">_xlfn.RRI(2+$DT$2,($DT$2*BY49+(1-$DT$2)*BZ49),CF49)</f>
        <v>#VALUE!</v>
      </c>
      <c r="FB49" s="292"/>
      <c r="FC49" s="292"/>
      <c r="FD49" s="292"/>
      <c r="FE49" s="292"/>
      <c r="FF49" s="296">
        <v>0.1</v>
      </c>
      <c r="FG49" s="296">
        <v>-0.1</v>
      </c>
      <c r="FH49" s="295">
        <f t="shared" si="182"/>
        <v>0.2</v>
      </c>
      <c r="FI49" s="298">
        <f t="shared" si="183"/>
        <v>0.41176470588235303</v>
      </c>
      <c r="FJ49" s="298">
        <f t="shared" si="184"/>
        <v>-0.29411764705882348</v>
      </c>
      <c r="FK49" s="295">
        <f t="shared" si="185"/>
        <v>0.70588235294117652</v>
      </c>
      <c r="FL49" s="15">
        <f t="shared" si="186"/>
        <v>0</v>
      </c>
      <c r="FM49" s="15">
        <f t="shared" si="187"/>
        <v>0.11764705882352955</v>
      </c>
      <c r="FN49" s="15" t="e">
        <f t="shared" ca="1" si="188"/>
        <v>#VALUE!</v>
      </c>
      <c r="FO49" s="15" t="e">
        <f t="shared" ca="1" si="189"/>
        <v>#VALUE!</v>
      </c>
      <c r="FP49" s="300" t="e">
        <f t="shared" ca="1" si="190"/>
        <v>#VALUE!</v>
      </c>
      <c r="FQ49" s="15" t="e">
        <f t="shared" ca="1" si="191"/>
        <v>#VALUE!</v>
      </c>
      <c r="FR49" s="300" t="e">
        <f t="shared" ca="1" si="192"/>
        <v>#VALUE!</v>
      </c>
      <c r="FS49" s="15" t="e">
        <f t="shared" ca="1" si="193"/>
        <v>#VALUE!</v>
      </c>
      <c r="FT49" s="294">
        <v>12</v>
      </c>
      <c r="FU49" s="294">
        <v>6</v>
      </c>
      <c r="FV49" s="63" t="s">
        <v>92</v>
      </c>
    </row>
    <row r="50" spans="2:178" outlineLevel="1" x14ac:dyDescent="0.25">
      <c r="B50" s="10" t="s">
        <v>174</v>
      </c>
      <c r="C50" s="10"/>
      <c r="D50" s="38" t="s">
        <v>165</v>
      </c>
      <c r="E50" s="392"/>
      <c r="F50" s="393">
        <v>46119</v>
      </c>
      <c r="G50" s="394"/>
      <c r="H50" s="411" t="str" cm="1">
        <f t="array" aca="1" ref="H50" ca="1">_xll.BQL($B50, "px_last", "dates=" &amp; _xll.BQL.DATE($D$2))</f>
        <v>#N/A Connection</v>
      </c>
      <c r="I50" s="396">
        <v>584</v>
      </c>
      <c r="J50" s="25"/>
      <c r="K50" s="396"/>
      <c r="L50" s="396"/>
      <c r="M50" s="76">
        <f t="shared" si="174"/>
        <v>0</v>
      </c>
      <c r="N50" s="76" t="e">
        <f t="shared" ca="1" si="175"/>
        <v>#VALUE!</v>
      </c>
      <c r="O50" s="396">
        <v>652.54500000000007</v>
      </c>
      <c r="P50" s="396">
        <v>937.38499999999999</v>
      </c>
      <c r="Q50" s="396">
        <v>1249.1990000000001</v>
      </c>
      <c r="R50" s="396">
        <v>1597</v>
      </c>
      <c r="S50" s="396">
        <v>2015.4619432</v>
      </c>
      <c r="T50" s="396">
        <v>2499.0954630532001</v>
      </c>
      <c r="U50" s="396">
        <v>3043.4160714545396</v>
      </c>
      <c r="V50" s="396">
        <v>3647.0294470982017</v>
      </c>
      <c r="W50" s="396">
        <v>4306.7083294945915</v>
      </c>
      <c r="X50" s="21">
        <v>0.73459301657356946</v>
      </c>
      <c r="Y50" s="21">
        <v>0.75004187180294113</v>
      </c>
      <c r="Z50" s="21">
        <v>0.77347724421809494</v>
      </c>
      <c r="AA50" s="21">
        <v>0.77457733249843452</v>
      </c>
      <c r="AB50" s="21">
        <v>0.77570321829731492</v>
      </c>
      <c r="AC50" s="21">
        <v>0.77653474621997043</v>
      </c>
      <c r="AD50" s="21">
        <v>0.7771545132848493</v>
      </c>
      <c r="AE50" s="21">
        <v>0.7776254647444949</v>
      </c>
      <c r="AF50" s="21">
        <v>0.77798918353938862</v>
      </c>
      <c r="AG50" s="417">
        <f t="shared" si="194"/>
        <v>479.35499999999996</v>
      </c>
      <c r="AH50" s="417">
        <f t="shared" si="194"/>
        <v>703.07799999999997</v>
      </c>
      <c r="AI50" s="417">
        <f t="shared" si="194"/>
        <v>966.22700000000009</v>
      </c>
      <c r="AJ50" s="417">
        <f t="shared" si="194"/>
        <v>1237</v>
      </c>
      <c r="AK50" s="417">
        <f t="shared" si="194"/>
        <v>1563.400315696</v>
      </c>
      <c r="AL50" s="417">
        <f t="shared" si="194"/>
        <v>1940.6344611814961</v>
      </c>
      <c r="AM50" s="417">
        <f t="shared" si="194"/>
        <v>2365.204535734541</v>
      </c>
      <c r="AN50" s="417">
        <f t="shared" si="194"/>
        <v>2836.0229687365972</v>
      </c>
      <c r="AO50" s="417">
        <f t="shared" si="194"/>
        <v>3350.5724970057813</v>
      </c>
      <c r="AP50" s="399">
        <v>-0.12627770326248658</v>
      </c>
      <c r="AQ50" s="399">
        <v>6.7343595126815495E-2</v>
      </c>
      <c r="AR50" s="399">
        <v>0.25699684937716399</v>
      </c>
      <c r="AS50" s="399">
        <v>0.50684931506849318</v>
      </c>
      <c r="AT50" s="399">
        <v>0.64130836872540675</v>
      </c>
      <c r="AU50" s="399">
        <v>0.93597581674201291</v>
      </c>
      <c r="AV50" s="399">
        <v>1.2984002988685597</v>
      </c>
      <c r="AW50" s="399">
        <v>1.7374877290528952</v>
      </c>
      <c r="AX50" s="399">
        <v>2.262534800629723</v>
      </c>
      <c r="AY50" s="399">
        <v>-0.48110439925796755</v>
      </c>
      <c r="AZ50" s="399">
        <v>-0.5095975206864769</v>
      </c>
      <c r="BA50" s="399">
        <v>-0.26787206762618437</v>
      </c>
      <c r="BB50" s="399">
        <v>-7.3630136986301373E-2</v>
      </c>
      <c r="BC50" s="399">
        <v>-1.4882744504979728E-2</v>
      </c>
      <c r="BD50" s="399">
        <v>0.19679474720218906</v>
      </c>
      <c r="BE50" s="399">
        <v>0.46873862963911672</v>
      </c>
      <c r="BF50" s="399">
        <v>0.80881649362232044</v>
      </c>
      <c r="BG50" s="399">
        <v>1.2253431313711185</v>
      </c>
      <c r="BH50" s="400" t="e">
        <f ca="1">$N50/Q50</f>
        <v>#VALUE!</v>
      </c>
      <c r="BI50" s="400" t="e">
        <f ca="1">$N50/R50</f>
        <v>#VALUE!</v>
      </c>
      <c r="BJ50" s="400" t="e">
        <f ca="1">$N50/S50</f>
        <v>#VALUE!</v>
      </c>
      <c r="BK50" s="400" t="e">
        <f ca="1">$N50/T50</f>
        <v>#VALUE!</v>
      </c>
      <c r="BL50" s="400" t="e">
        <f ca="1">$N50/U50</f>
        <v>#VALUE!</v>
      </c>
      <c r="BM50" s="400" t="e">
        <f ca="1">$N50/V50</f>
        <v>#VALUE!</v>
      </c>
      <c r="BN50" s="400" t="e">
        <f ca="1">$N50/W50</f>
        <v>#VALUE!</v>
      </c>
      <c r="BO50" s="400" t="e">
        <f ca="1">$N50/AK50</f>
        <v>#VALUE!</v>
      </c>
      <c r="BP50" s="400" t="e">
        <f ca="1">$N50/AL50</f>
        <v>#VALUE!</v>
      </c>
      <c r="BQ50" s="400" t="e">
        <f ca="1">$N50/AM50</f>
        <v>#VALUE!</v>
      </c>
      <c r="BR50" s="400" t="e">
        <f ca="1">$N50/AN50</f>
        <v>#VALUE!</v>
      </c>
      <c r="BS50" s="400" t="e">
        <f ca="1">$N50/AO50</f>
        <v>#VALUE!</v>
      </c>
      <c r="BT50" s="400" t="e">
        <f ca="1">$H50/AT50</f>
        <v>#VALUE!</v>
      </c>
      <c r="BU50" s="400" t="e">
        <f ca="1">$H50/AU50</f>
        <v>#VALUE!</v>
      </c>
      <c r="BV50" s="400" t="e">
        <f ca="1">$H50/AV50</f>
        <v>#VALUE!</v>
      </c>
      <c r="BW50" s="400" t="e">
        <f ca="1">$H50/AW50</f>
        <v>#VALUE!</v>
      </c>
      <c r="BX50" s="400" t="e">
        <f ca="1">$H50/AX50</f>
        <v>#VALUE!</v>
      </c>
      <c r="BY50" s="199" t="s">
        <v>24</v>
      </c>
      <c r="BZ50" s="400" t="e">
        <f ca="1">$H50/BD50</f>
        <v>#VALUE!</v>
      </c>
      <c r="CA50" s="400" t="e">
        <f ca="1">$H50/BE50</f>
        <v>#VALUE!</v>
      </c>
      <c r="CB50" s="400" t="e">
        <f ca="1">$H50/BF50</f>
        <v>#VALUE!</v>
      </c>
      <c r="CC50" s="400" t="e">
        <f ca="1">$H50/BG50</f>
        <v>#VALUE!</v>
      </c>
      <c r="CD50" s="12">
        <v>7</v>
      </c>
      <c r="CE50" s="167">
        <v>7</v>
      </c>
      <c r="CF50" s="12">
        <v>7</v>
      </c>
      <c r="CG50" s="12">
        <v>7</v>
      </c>
      <c r="CH50" s="82">
        <v>10</v>
      </c>
      <c r="CI50" s="46"/>
      <c r="CJ50" s="46"/>
      <c r="CK50" s="46"/>
      <c r="CL50" s="46"/>
      <c r="CM50" s="46"/>
      <c r="CN50" s="176">
        <f>CD50*AL50/DD50+CS50</f>
        <v>23.383739604997853</v>
      </c>
      <c r="CO50" s="176">
        <f>CE50*AM50/DE50+CT50</f>
        <v>28.846648073144181</v>
      </c>
      <c r="CP50" s="176">
        <f>CF50*AN50/DF50+CU50</f>
        <v>35.223592790742146</v>
      </c>
      <c r="CQ50" s="176">
        <f>CG50*AO50/DG50+CV50</f>
        <v>42.62240484352975</v>
      </c>
      <c r="CR50" s="7"/>
      <c r="CS50" s="7"/>
      <c r="CT50" s="7"/>
      <c r="CU50" s="7"/>
      <c r="CV50" s="7"/>
      <c r="CW50" s="7"/>
      <c r="CX50" s="41"/>
      <c r="CY50" s="41"/>
      <c r="CZ50" s="41"/>
      <c r="DA50" s="41"/>
      <c r="DB50" s="19"/>
      <c r="DC50" s="40">
        <v>584.30247041324481</v>
      </c>
      <c r="DD50" s="40">
        <v>580.93536182583227</v>
      </c>
      <c r="DE50" s="40">
        <v>573.9464671306331</v>
      </c>
      <c r="DF50" s="40">
        <v>563.60408488409348</v>
      </c>
      <c r="DG50" s="40">
        <v>550.27414725053643</v>
      </c>
      <c r="DH50" s="40"/>
      <c r="DI50" s="40"/>
      <c r="DJ50" s="40"/>
      <c r="DK50" s="40"/>
      <c r="DL50" s="40"/>
      <c r="DM50" s="7"/>
      <c r="DN50" s="7"/>
      <c r="DO50" s="7"/>
      <c r="DP50" s="7"/>
      <c r="DQ50" s="7"/>
      <c r="DR50" s="7"/>
      <c r="DS50" s="7"/>
      <c r="DT50" s="78" t="e">
        <f ca="1">_xlfn.RRI(DT$2,$H50,CN50+$DO50*$DT$2)</f>
        <v>#VALUE!</v>
      </c>
      <c r="DU50" s="78" t="e">
        <f ca="1">_xlfn.RRI(DU$2,$H50,CO50+$DO50*$DT$2+SUM($DP50:DP50))</f>
        <v>#VALUE!</v>
      </c>
      <c r="DV50" s="6" t="e">
        <f ca="1">_xlfn.RRI(DV$2,$H50,CP50+$DO50*$DT$2+SUM($DP50:DQ50))</f>
        <v>#VALUE!</v>
      </c>
      <c r="DW50" s="6" t="e">
        <f ca="1">_xlfn.RRI(DW$2,$H50,CQ50+$DO50*$DT$2+SUM($DP50:DR50))</f>
        <v>#VALUE!</v>
      </c>
      <c r="DX50" s="171" t="e">
        <f ca="1">SUM(CN50,$DO50:DO50)/$H50</f>
        <v>#VALUE!</v>
      </c>
      <c r="DY50" s="132" t="e">
        <f ca="1">SUM(CO50,$DO50:DP50)/$H50</f>
        <v>#VALUE!</v>
      </c>
      <c r="DZ50" s="132" t="e">
        <f ca="1">SUM(CP50,$DO50:DQ50)/$H50</f>
        <v>#VALUE!</v>
      </c>
      <c r="EA50" s="132" t="e">
        <f ca="1">SUM(CQ50,$DO50:DR50)/$H50</f>
        <v>#VALUE!</v>
      </c>
      <c r="EB50" s="78" cm="1">
        <f t="array" ref="EB50">_xll.BDP(""&amp;$B50&amp;"","CHG_PCT_1M")/100</f>
        <v>0.15299260000000001</v>
      </c>
      <c r="EC50" s="6" cm="1">
        <f t="array" ref="EC50">_xll.BDP(""&amp;$B50&amp;"","CHG_PCT_3M")/100</f>
        <v>-3.0260200000000001E-2</v>
      </c>
      <c r="ED50" s="194" cm="1">
        <f t="array" ref="ED50">_xll.BDP(""&amp;$B50&amp;"","CHG_PCT_6M")/100</f>
        <v>-0.21640760000000001</v>
      </c>
      <c r="EE50" s="363">
        <f ca="1">_xlfn.RRI(2+$DT$2,$DT$2*S50+(1-$DT$2)*T50,V50)</f>
        <v>0.2122124513476078</v>
      </c>
      <c r="EF50" s="189" t="s">
        <v>24</v>
      </c>
      <c r="EG50" s="365" t="s">
        <v>24</v>
      </c>
      <c r="EH50" s="189" t="s">
        <v>24</v>
      </c>
      <c r="EI50" s="365" t="s">
        <v>24</v>
      </c>
      <c r="EJ50" s="189" t="s">
        <v>24</v>
      </c>
      <c r="EK50" s="194" t="e">
        <f t="shared" ca="1" si="179"/>
        <v>#VALUE!</v>
      </c>
      <c r="EL50" s="6">
        <f>_xlfn.RRI(3,AK50,AN50)</f>
        <v>0.21958811322584948</v>
      </c>
      <c r="EM50" s="235" t="s">
        <v>24</v>
      </c>
      <c r="EN50" s="163" cm="1">
        <f t="array" ref="EN50">_xll.BDP(B50,"AVG_DAILY_VALUE_TRADED_3M")/10^6</f>
        <v>223.49102400000001</v>
      </c>
      <c r="EQ50" s="361">
        <f ca="1">IFERROR(AVERAGE(DP50:DQ50)/H50,0)</f>
        <v>0</v>
      </c>
      <c r="ER50" s="361">
        <f ca="1">_xlfn.RRI(2+$DT$2,$DT$2*(BC50)+(1-$DT$2)*(BD50),(BF50))</f>
        <v>1.48824024459002</v>
      </c>
      <c r="ES50" s="127" t="e">
        <f t="shared" ca="1" si="180"/>
        <v>#VALUE!</v>
      </c>
      <c r="EU50" s="361" t="e">
        <f ca="1">_xlfn.RRI(2+$DT$2,($DT$2*BY50+(1-$DT$2)*BZ50),CF50)</f>
        <v>#VALUE!</v>
      </c>
      <c r="EX50" s="292"/>
      <c r="EY50" s="292"/>
      <c r="EZ50" s="292"/>
      <c r="FA50" s="292"/>
      <c r="FB50" s="292"/>
      <c r="FC50" s="292"/>
      <c r="FD50" s="292"/>
      <c r="FE50" s="292"/>
      <c r="FF50" s="296">
        <v>0.15</v>
      </c>
      <c r="FG50" s="296">
        <v>-0.15</v>
      </c>
      <c r="FH50" s="295">
        <f t="shared" si="182"/>
        <v>0.3</v>
      </c>
      <c r="FI50" s="298">
        <f t="shared" si="183"/>
        <v>0.4285714285714286</v>
      </c>
      <c r="FJ50" s="298">
        <f t="shared" si="184"/>
        <v>-0.2142857142857143</v>
      </c>
      <c r="FK50" s="295">
        <f t="shared" si="185"/>
        <v>0.6428571428571429</v>
      </c>
      <c r="FL50" s="15">
        <f t="shared" si="186"/>
        <v>0</v>
      </c>
      <c r="FM50" s="15">
        <f t="shared" si="187"/>
        <v>0.2142857142857143</v>
      </c>
      <c r="FN50" s="15" t="e">
        <f t="shared" ca="1" si="188"/>
        <v>#VALUE!</v>
      </c>
      <c r="FO50" s="15" t="e">
        <f t="shared" ca="1" si="189"/>
        <v>#VALUE!</v>
      </c>
      <c r="FP50" s="300" t="e">
        <f t="shared" ca="1" si="190"/>
        <v>#VALUE!</v>
      </c>
      <c r="FQ50" s="15" t="e">
        <f t="shared" ca="1" si="191"/>
        <v>#VALUE!</v>
      </c>
      <c r="FR50" s="300" t="e">
        <f t="shared" ca="1" si="192"/>
        <v>#VALUE!</v>
      </c>
      <c r="FS50" s="15" t="e">
        <f t="shared" ca="1" si="193"/>
        <v>#VALUE!</v>
      </c>
      <c r="FT50" s="294">
        <v>10</v>
      </c>
      <c r="FU50" s="294">
        <v>5.5</v>
      </c>
    </row>
    <row r="51" spans="2:178" outlineLevel="1" x14ac:dyDescent="0.25">
      <c r="B51" s="10" t="s">
        <v>173</v>
      </c>
      <c r="C51" s="10"/>
      <c r="D51" s="453" t="s">
        <v>153</v>
      </c>
      <c r="E51" s="454"/>
      <c r="F51" s="455">
        <v>46119</v>
      </c>
      <c r="G51" s="456"/>
      <c r="H51" s="457" t="str" cm="1">
        <f t="array" aca="1" ref="H51" ca="1">_xll.BQL($B51, "px_last", "dates=" &amp; _xll.BQL.DATE($D$2))</f>
        <v>#N/A Connection</v>
      </c>
      <c r="I51" s="458">
        <v>121.849</v>
      </c>
      <c r="J51" s="459"/>
      <c r="K51" s="458"/>
      <c r="L51" s="458"/>
      <c r="M51" s="460">
        <f t="shared" si="174"/>
        <v>0</v>
      </c>
      <c r="N51" s="460" t="e">
        <f t="shared" ca="1" si="175"/>
        <v>#VALUE!</v>
      </c>
      <c r="O51" s="458">
        <v>280.04000000000002</v>
      </c>
      <c r="P51" s="458">
        <v>349.88599999999997</v>
      </c>
      <c r="Q51" s="458">
        <v>428.488</v>
      </c>
      <c r="R51" s="458">
        <v>531.84</v>
      </c>
      <c r="S51" s="458">
        <v>665.41555203977373</v>
      </c>
      <c r="T51" s="458">
        <v>826.13258277577529</v>
      </c>
      <c r="U51" s="458">
        <v>1017.0983868649578</v>
      </c>
      <c r="V51" s="458">
        <v>1241.1345670872558</v>
      </c>
      <c r="W51" s="458">
        <v>1500.5795685611372</v>
      </c>
      <c r="X51" s="461">
        <v>0.83985144979288684</v>
      </c>
      <c r="Y51" s="461">
        <v>0.83739275078168318</v>
      </c>
      <c r="Z51" s="461">
        <v>0.83796045630216009</v>
      </c>
      <c r="AA51" s="461">
        <v>0.83345743080625756</v>
      </c>
      <c r="AB51" s="461">
        <v>0.82674118443047218</v>
      </c>
      <c r="AC51" s="461">
        <v>0.82153891563048254</v>
      </c>
      <c r="AD51" s="461">
        <v>0.81749486601276322</v>
      </c>
      <c r="AE51" s="461">
        <v>0.81433688213338518</v>
      </c>
      <c r="AF51" s="461">
        <v>0.81185808495117806</v>
      </c>
      <c r="AG51" s="462">
        <f t="shared" si="194"/>
        <v>235.19200000000004</v>
      </c>
      <c r="AH51" s="462">
        <f t="shared" si="194"/>
        <v>292.99199999999996</v>
      </c>
      <c r="AI51" s="462">
        <f t="shared" si="194"/>
        <v>359.05599999999998</v>
      </c>
      <c r="AJ51" s="462">
        <f t="shared" si="194"/>
        <v>443.26600000000002</v>
      </c>
      <c r="AK51" s="462">
        <f t="shared" si="194"/>
        <v>550.12644163181903</v>
      </c>
      <c r="AL51" s="462">
        <f t="shared" si="194"/>
        <v>678.70006622062033</v>
      </c>
      <c r="AM51" s="462">
        <f t="shared" si="194"/>
        <v>831.47270949196627</v>
      </c>
      <c r="AN51" s="462">
        <f t="shared" si="194"/>
        <v>1010.7016536698047</v>
      </c>
      <c r="AO51" s="462">
        <f t="shared" si="194"/>
        <v>1218.2576548489099</v>
      </c>
      <c r="AP51" s="463">
        <v>3.5418991216776712E-2</v>
      </c>
      <c r="AQ51" s="463">
        <v>0.51477075747709355</v>
      </c>
      <c r="AR51" s="463">
        <v>0.64781767548387659</v>
      </c>
      <c r="AS51" s="463">
        <v>0.82052376301816266</v>
      </c>
      <c r="AT51" s="463">
        <v>0.97873872751853797</v>
      </c>
      <c r="AU51" s="463">
        <v>1.3183562165203631</v>
      </c>
      <c r="AV51" s="463">
        <v>1.7754966780071457</v>
      </c>
      <c r="AW51" s="463">
        <v>2.378892360468583</v>
      </c>
      <c r="AX51" s="463">
        <v>3.162258959832029</v>
      </c>
      <c r="AY51" s="463">
        <v>-0.6193745887334422</v>
      </c>
      <c r="AZ51" s="463">
        <v>-0.35809342125778487</v>
      </c>
      <c r="BA51" s="463">
        <v>-0.48959372587123834</v>
      </c>
      <c r="BB51" s="463">
        <v>-0.46514128142208722</v>
      </c>
      <c r="BC51" s="463">
        <v>-0.30251127248146203</v>
      </c>
      <c r="BD51" s="463">
        <v>-0.11451466176657742</v>
      </c>
      <c r="BE51" s="463">
        <v>0.17248503127951523</v>
      </c>
      <c r="BF51" s="463">
        <v>0.58446618761991076</v>
      </c>
      <c r="BG51" s="463">
        <v>1.1519036815050219</v>
      </c>
      <c r="BH51" s="464" t="e">
        <f ca="1">$N51/Q51</f>
        <v>#VALUE!</v>
      </c>
      <c r="BI51" s="464" t="e">
        <f ca="1">$N51/R51</f>
        <v>#VALUE!</v>
      </c>
      <c r="BJ51" s="464" t="e">
        <f ca="1">$N51/S51</f>
        <v>#VALUE!</v>
      </c>
      <c r="BK51" s="464" t="e">
        <f ca="1">$N51/T51</f>
        <v>#VALUE!</v>
      </c>
      <c r="BL51" s="464" t="e">
        <f ca="1">$N51/U51</f>
        <v>#VALUE!</v>
      </c>
      <c r="BM51" s="464" t="e">
        <f ca="1">$N51/V51</f>
        <v>#VALUE!</v>
      </c>
      <c r="BN51" s="464" t="e">
        <f ca="1">$N51/W51</f>
        <v>#VALUE!</v>
      </c>
      <c r="BO51" s="464" t="e">
        <f ca="1">$N51/AK51</f>
        <v>#VALUE!</v>
      </c>
      <c r="BP51" s="464" t="e">
        <f ca="1">$N51/AL51</f>
        <v>#VALUE!</v>
      </c>
      <c r="BQ51" s="464" t="e">
        <f ca="1">$N51/AM51</f>
        <v>#VALUE!</v>
      </c>
      <c r="BR51" s="464" t="e">
        <f ca="1">$N51/AN51</f>
        <v>#VALUE!</v>
      </c>
      <c r="BS51" s="464" t="e">
        <f ca="1">$N51/AO51</f>
        <v>#VALUE!</v>
      </c>
      <c r="BT51" s="464" t="e">
        <f ca="1">$H51/AT51</f>
        <v>#VALUE!</v>
      </c>
      <c r="BU51" s="464" t="e">
        <f ca="1">$H51/AU51</f>
        <v>#VALUE!</v>
      </c>
      <c r="BV51" s="464" t="e">
        <f ca="1">$H51/AV51</f>
        <v>#VALUE!</v>
      </c>
      <c r="BW51" s="464" t="e">
        <f ca="1">$H51/AW51</f>
        <v>#VALUE!</v>
      </c>
      <c r="BX51" s="464" t="e">
        <f ca="1">$H51/AX51</f>
        <v>#VALUE!</v>
      </c>
      <c r="BY51" s="465" t="s">
        <v>24</v>
      </c>
      <c r="BZ51" s="466" t="s">
        <v>24</v>
      </c>
      <c r="CA51" s="464" t="e">
        <f ca="1">$H51/BE51</f>
        <v>#VALUE!</v>
      </c>
      <c r="CB51" s="464" t="e">
        <f ca="1">$H51/BF51</f>
        <v>#VALUE!</v>
      </c>
      <c r="CC51" s="464" t="e">
        <f ca="1">$H51/BG51</f>
        <v>#VALUE!</v>
      </c>
      <c r="CD51" s="467">
        <v>7</v>
      </c>
      <c r="CE51" s="468">
        <v>7</v>
      </c>
      <c r="CF51" s="467">
        <v>7</v>
      </c>
      <c r="CG51" s="467">
        <v>7</v>
      </c>
      <c r="CH51" s="469">
        <v>6</v>
      </c>
      <c r="CI51" s="470"/>
      <c r="CJ51" s="470"/>
      <c r="CK51" s="470"/>
      <c r="CL51" s="470"/>
      <c r="CM51" s="470"/>
      <c r="CN51" s="471">
        <f>CD51*(T51/DD51)+CS51</f>
        <v>45.081324632093754</v>
      </c>
      <c r="CO51" s="471">
        <f>CE51*(U51/DE51)+CT51</f>
        <v>55.65952459050601</v>
      </c>
      <c r="CP51" s="471">
        <f>CF51*(V51/DF51)+CU51</f>
        <v>68.487062043959824</v>
      </c>
      <c r="CQ51" s="471">
        <f>CG51*(W51/DG51)+CV51</f>
        <v>83.98903842312339</v>
      </c>
      <c r="CR51" s="472"/>
      <c r="CS51" s="472"/>
      <c r="CT51" s="472"/>
      <c r="CU51" s="472"/>
      <c r="CV51" s="472"/>
      <c r="CW51" s="472"/>
      <c r="CX51" s="473"/>
      <c r="CY51" s="473"/>
      <c r="CZ51" s="473"/>
      <c r="DA51" s="473"/>
      <c r="DB51" s="474"/>
      <c r="DC51" s="475">
        <v>128</v>
      </c>
      <c r="DD51" s="475">
        <v>128.27768763727752</v>
      </c>
      <c r="DE51" s="475">
        <v>127.915011140234</v>
      </c>
      <c r="DF51" s="475">
        <v>126.85522944515063</v>
      </c>
      <c r="DG51" s="475">
        <v>125.06461768272897</v>
      </c>
      <c r="DH51" s="475"/>
      <c r="DI51" s="475"/>
      <c r="DJ51" s="475"/>
      <c r="DK51" s="475"/>
      <c r="DL51" s="475"/>
      <c r="DM51" s="472"/>
      <c r="DN51" s="472"/>
      <c r="DO51" s="472"/>
      <c r="DP51" s="472"/>
      <c r="DQ51" s="472"/>
      <c r="DR51" s="472"/>
      <c r="DS51" s="472"/>
      <c r="DT51" s="476" t="e">
        <f ca="1">_xlfn.RRI(DT$2,$H51,CN51+$DO51*$DT$2)</f>
        <v>#VALUE!</v>
      </c>
      <c r="DU51" s="476" t="e">
        <f ca="1">_xlfn.RRI(DU$2,$H51,CO51+$DO51*$DT$2+SUM($DP51:DP51))</f>
        <v>#VALUE!</v>
      </c>
      <c r="DV51" s="477" t="e">
        <f ca="1">_xlfn.RRI(DV$2,$H51,CP51+$DO51*$DT$2+SUM($DP51:DQ51))</f>
        <v>#VALUE!</v>
      </c>
      <c r="DW51" s="477" t="e">
        <f ca="1">_xlfn.RRI(DW$2,$H51,CQ51+$DO51*$DT$2+SUM($DP51:DR51))</f>
        <v>#VALUE!</v>
      </c>
      <c r="DX51" s="478" t="e">
        <f ca="1">SUM(CN51,$DO51:DO51)/$H51</f>
        <v>#VALUE!</v>
      </c>
      <c r="DY51" s="479" t="e">
        <f ca="1">SUM(CO51,$DO51:DP51)/$H51</f>
        <v>#VALUE!</v>
      </c>
      <c r="DZ51" s="479" t="e">
        <f ca="1">SUM(CP51,$DO51:DQ51)/$H51</f>
        <v>#VALUE!</v>
      </c>
      <c r="EA51" s="479" t="e">
        <f ca="1">SUM(CQ51,$DO51:DR51)/$H51</f>
        <v>#VALUE!</v>
      </c>
      <c r="EB51" s="476" cm="1">
        <f t="array" ref="EB51">_xll.BDP(""&amp;$B51&amp;"","CHG_PCT_1M")/100</f>
        <v>0.2297661</v>
      </c>
      <c r="EC51" s="477" cm="1">
        <f t="array" ref="EC51">_xll.BDP(""&amp;$B51&amp;"","CHG_PCT_3M")/100</f>
        <v>1.137472</v>
      </c>
      <c r="ED51" s="480" cm="1">
        <f t="array" ref="ED51">_xll.BDP(""&amp;$B51&amp;"","CHG_PCT_6M")/100</f>
        <v>0.3393023</v>
      </c>
      <c r="EE51" s="481">
        <f ca="1">_xlfn.RRI(2+$DT$2,$DT$2*S51+(1-$DT$2)*T51,V51)</f>
        <v>0.22635441033676496</v>
      </c>
      <c r="EF51" s="482" t="s">
        <v>24</v>
      </c>
      <c r="EG51" s="483" t="s">
        <v>24</v>
      </c>
      <c r="EH51" s="482" t="s">
        <v>24</v>
      </c>
      <c r="EI51" s="483" t="s">
        <v>24</v>
      </c>
      <c r="EJ51" s="482" t="s">
        <v>24</v>
      </c>
      <c r="EK51" s="480" t="e">
        <f t="shared" ca="1" si="179"/>
        <v>#VALUE!</v>
      </c>
      <c r="EL51" s="477">
        <f>_xlfn.RRI(3,AK51,AN51)</f>
        <v>0.2247670261647936</v>
      </c>
      <c r="EM51" s="484" t="s">
        <v>24</v>
      </c>
      <c r="EN51" s="163" cm="1">
        <f t="array" ref="EN51">_xll.BDP(B51,"AVG_DAILY_VALUE_TRADED_3M")/10^6</f>
        <v>152.34379200000001</v>
      </c>
      <c r="EQ51" s="361">
        <f ca="1">IFERROR(AVERAGE(DP51:DQ51)/H51,0)</f>
        <v>0</v>
      </c>
      <c r="ER51" s="361" t="e">
        <f ca="1">_xlfn.RRI(2+$DT$2,$DT$2*(BC51)+(1-$DT$2)*(BD51),(BF51))</f>
        <v>#NUM!</v>
      </c>
      <c r="ES51" s="127" t="e">
        <f t="shared" ca="1" si="180"/>
        <v>#NUM!</v>
      </c>
      <c r="EU51" s="361" t="e">
        <f ca="1">_xlfn.RRI(2+$DT$2,($DT$2*BY51+(1-$DT$2)*BZ51),CF51)</f>
        <v>#VALUE!</v>
      </c>
      <c r="EX51" s="292"/>
      <c r="EY51" s="292"/>
      <c r="EZ51" s="292"/>
      <c r="FA51" s="292"/>
      <c r="FB51" s="292"/>
      <c r="FC51" s="292"/>
      <c r="FD51" s="292"/>
      <c r="FE51" s="292"/>
      <c r="FF51" s="296">
        <v>0.2</v>
      </c>
      <c r="FG51" s="296">
        <v>-0.15</v>
      </c>
      <c r="FH51" s="295">
        <f t="shared" si="182"/>
        <v>0.35</v>
      </c>
      <c r="FI51" s="298">
        <f t="shared" si="183"/>
        <v>0.28571428571428581</v>
      </c>
      <c r="FJ51" s="298">
        <f t="shared" si="184"/>
        <v>-0.2857142857142857</v>
      </c>
      <c r="FK51" s="295">
        <f t="shared" si="185"/>
        <v>0.57142857142857151</v>
      </c>
      <c r="FL51" s="15">
        <f t="shared" si="186"/>
        <v>5.0000000000000017E-2</v>
      </c>
      <c r="FM51" s="15">
        <f t="shared" si="187"/>
        <v>0</v>
      </c>
      <c r="FN51" s="15" t="e">
        <f t="shared" ca="1" si="188"/>
        <v>#VALUE!</v>
      </c>
      <c r="FO51" s="15" t="e">
        <f t="shared" ca="1" si="189"/>
        <v>#VALUE!</v>
      </c>
      <c r="FP51" s="300" t="e">
        <f t="shared" ca="1" si="190"/>
        <v>#VALUE!</v>
      </c>
      <c r="FQ51" s="15" t="e">
        <f t="shared" ca="1" si="191"/>
        <v>#VALUE!</v>
      </c>
      <c r="FR51" s="300" t="e">
        <f t="shared" ca="1" si="192"/>
        <v>#VALUE!</v>
      </c>
      <c r="FS51" s="15" t="e">
        <f t="shared" ca="1" si="193"/>
        <v>#VALUE!</v>
      </c>
      <c r="FT51" s="294">
        <v>9</v>
      </c>
      <c r="FU51" s="294">
        <v>5</v>
      </c>
    </row>
    <row r="52" spans="2:178" x14ac:dyDescent="0.25">
      <c r="B52" s="10"/>
      <c r="C52" s="10"/>
      <c r="D52" s="62"/>
      <c r="E52" s="437"/>
      <c r="F52" s="436"/>
      <c r="G52" s="437"/>
      <c r="H52" s="438"/>
      <c r="I52" s="64"/>
      <c r="J52" s="64"/>
      <c r="K52" s="86"/>
      <c r="L52" s="437"/>
      <c r="M52" s="72"/>
      <c r="N52" s="153"/>
      <c r="O52" s="439"/>
      <c r="P52" s="439"/>
      <c r="Q52" s="439"/>
      <c r="R52" s="439"/>
      <c r="S52" s="439"/>
      <c r="T52" s="439"/>
      <c r="U52" s="439"/>
      <c r="V52" s="439"/>
      <c r="W52" s="439"/>
      <c r="X52" s="65"/>
      <c r="Y52" s="65"/>
      <c r="Z52" s="65"/>
      <c r="AA52" s="65"/>
      <c r="AB52" s="65"/>
      <c r="AC52" s="65"/>
      <c r="AD52" s="65"/>
      <c r="AE52" s="65"/>
      <c r="AF52" s="65"/>
      <c r="AG52" s="440"/>
      <c r="AH52" s="440"/>
      <c r="AI52" s="440"/>
      <c r="AJ52" s="440"/>
      <c r="AK52" s="440"/>
      <c r="AL52" s="440"/>
      <c r="AM52" s="440"/>
      <c r="AN52" s="440"/>
      <c r="AO52" s="440"/>
      <c r="AP52" s="441"/>
      <c r="AQ52" s="441"/>
      <c r="AR52" s="441"/>
      <c r="AS52" s="441"/>
      <c r="AT52" s="441"/>
      <c r="AU52" s="441"/>
      <c r="AV52" s="441"/>
      <c r="AW52" s="441"/>
      <c r="AX52" s="441"/>
      <c r="AY52" s="442"/>
      <c r="AZ52" s="442"/>
      <c r="BA52" s="442"/>
      <c r="BB52" s="442"/>
      <c r="BC52" s="442"/>
      <c r="BD52" s="442"/>
      <c r="BE52" s="442"/>
      <c r="BF52" s="442"/>
      <c r="BG52" s="442"/>
      <c r="BH52" s="443"/>
      <c r="BI52" s="443"/>
      <c r="BJ52" s="443"/>
      <c r="BK52" s="443"/>
      <c r="BL52" s="443"/>
      <c r="BM52" s="443"/>
      <c r="BN52" s="443"/>
      <c r="BO52" s="443"/>
      <c r="BP52" s="443"/>
      <c r="BQ52" s="443"/>
      <c r="BR52" s="443"/>
      <c r="BS52" s="443"/>
      <c r="BT52" s="443"/>
      <c r="BU52" s="443"/>
      <c r="BV52" s="443"/>
      <c r="BW52" s="443"/>
      <c r="BX52" s="443"/>
      <c r="BY52" s="66"/>
      <c r="BZ52" s="443"/>
      <c r="CA52" s="443"/>
      <c r="CB52" s="443"/>
      <c r="CC52" s="443"/>
      <c r="CD52" s="67"/>
      <c r="CE52" s="169"/>
      <c r="CF52" s="67"/>
      <c r="CG52" s="67"/>
      <c r="CH52" s="67"/>
      <c r="CI52" s="68"/>
      <c r="CJ52" s="68"/>
      <c r="CK52" s="68"/>
      <c r="CL52" s="68"/>
      <c r="CM52" s="68"/>
      <c r="CN52" s="73"/>
      <c r="CO52" s="73"/>
      <c r="CP52" s="73"/>
      <c r="CQ52" s="73"/>
      <c r="CR52" s="69"/>
      <c r="CS52" s="69"/>
      <c r="CT52" s="69"/>
      <c r="CU52" s="69"/>
      <c r="CV52" s="69"/>
      <c r="CW52" s="69"/>
      <c r="CX52" s="74"/>
      <c r="CY52" s="74"/>
      <c r="CZ52" s="74"/>
      <c r="DA52" s="74"/>
      <c r="DB52" s="74"/>
      <c r="DC52" s="70"/>
      <c r="DD52" s="70"/>
      <c r="DE52" s="70"/>
      <c r="DF52" s="70"/>
      <c r="DG52" s="70"/>
      <c r="DH52" s="70"/>
      <c r="DI52" s="70"/>
      <c r="DJ52" s="70"/>
      <c r="DK52" s="70"/>
      <c r="DL52" s="70"/>
      <c r="DM52" s="69"/>
      <c r="DN52" s="69"/>
      <c r="DO52" s="69"/>
      <c r="DP52" s="69"/>
      <c r="DQ52" s="69"/>
      <c r="DR52" s="69"/>
      <c r="DS52" s="69"/>
      <c r="DT52" s="77"/>
      <c r="DU52" s="77"/>
      <c r="DV52" s="71"/>
      <c r="DW52" s="71"/>
      <c r="DX52" s="166"/>
      <c r="DY52" s="392"/>
      <c r="DZ52" s="392"/>
      <c r="EA52" s="392"/>
      <c r="EB52" s="77"/>
      <c r="EC52" s="71"/>
      <c r="ED52" s="195"/>
      <c r="EE52" s="71"/>
      <c r="EF52" s="71"/>
      <c r="EG52" s="71"/>
      <c r="EH52" s="71"/>
      <c r="EI52" s="71"/>
      <c r="EJ52" s="71"/>
      <c r="EK52" s="195"/>
      <c r="EL52" s="71"/>
      <c r="EM52" s="195"/>
      <c r="EN52" s="163"/>
      <c r="EX52" s="292"/>
      <c r="EY52" s="292"/>
      <c r="EZ52" s="292"/>
      <c r="FA52" s="292"/>
      <c r="FB52" s="292"/>
      <c r="FC52" s="292"/>
      <c r="FD52" s="292"/>
      <c r="FE52" s="292"/>
    </row>
    <row r="53" spans="2:178" ht="15.75" x14ac:dyDescent="0.25">
      <c r="B53" s="10"/>
      <c r="C53" s="10"/>
      <c r="D53" s="161" t="s">
        <v>245</v>
      </c>
      <c r="E53" s="437"/>
      <c r="F53" s="436"/>
      <c r="G53" s="437"/>
      <c r="H53" s="438"/>
      <c r="I53" s="64"/>
      <c r="J53" s="64"/>
      <c r="K53" s="86"/>
      <c r="L53" s="437"/>
      <c r="M53" s="72"/>
      <c r="N53" s="153"/>
      <c r="O53" s="439"/>
      <c r="P53" s="439"/>
      <c r="Q53" s="439"/>
      <c r="R53" s="439"/>
      <c r="S53" s="439"/>
      <c r="T53" s="439"/>
      <c r="U53" s="439"/>
      <c r="V53" s="439"/>
      <c r="W53" s="439"/>
      <c r="X53" s="65"/>
      <c r="Y53" s="65"/>
      <c r="Z53" s="65"/>
      <c r="AA53" s="65"/>
      <c r="AB53" s="65"/>
      <c r="AC53" s="65"/>
      <c r="AD53" s="65"/>
      <c r="AE53" s="65"/>
      <c r="AF53" s="65"/>
      <c r="AG53" s="440"/>
      <c r="AH53" s="440"/>
      <c r="AI53" s="440"/>
      <c r="AJ53" s="440"/>
      <c r="AK53" s="440"/>
      <c r="AL53" s="440"/>
      <c r="AM53" s="440"/>
      <c r="AN53" s="440"/>
      <c r="AO53" s="440"/>
      <c r="AP53" s="441"/>
      <c r="AQ53" s="441"/>
      <c r="AR53" s="441"/>
      <c r="AS53" s="441"/>
      <c r="AT53" s="441"/>
      <c r="AU53" s="441"/>
      <c r="AV53" s="441"/>
      <c r="AW53" s="441"/>
      <c r="AX53" s="441"/>
      <c r="AY53" s="442"/>
      <c r="AZ53" s="442"/>
      <c r="BA53" s="442"/>
      <c r="BB53" s="442"/>
      <c r="BC53" s="442"/>
      <c r="BD53" s="442"/>
      <c r="BE53" s="442"/>
      <c r="BF53" s="442"/>
      <c r="BG53" s="442"/>
      <c r="BH53" s="443"/>
      <c r="BI53" s="443"/>
      <c r="BJ53" s="443"/>
      <c r="BK53" s="443"/>
      <c r="BL53" s="443"/>
      <c r="BM53" s="443"/>
      <c r="BN53" s="443"/>
      <c r="BO53" s="443"/>
      <c r="BP53" s="443"/>
      <c r="BQ53" s="443"/>
      <c r="BR53" s="443"/>
      <c r="BS53" s="443"/>
      <c r="BT53" s="443"/>
      <c r="BU53" s="443"/>
      <c r="BV53" s="443"/>
      <c r="BW53" s="443"/>
      <c r="BX53" s="443"/>
      <c r="BY53" s="66"/>
      <c r="BZ53" s="443"/>
      <c r="CA53" s="443"/>
      <c r="CB53" s="443"/>
      <c r="CC53" s="443"/>
      <c r="CD53" s="67"/>
      <c r="CE53" s="169"/>
      <c r="CF53" s="67"/>
      <c r="CG53" s="67"/>
      <c r="CH53" s="67"/>
      <c r="CI53" s="68"/>
      <c r="CJ53" s="68"/>
      <c r="CK53" s="68"/>
      <c r="CL53" s="68"/>
      <c r="CM53" s="68"/>
      <c r="CN53" s="73"/>
      <c r="CO53" s="73"/>
      <c r="CP53" s="73"/>
      <c r="CQ53" s="73"/>
      <c r="CR53" s="69"/>
      <c r="CS53" s="69"/>
      <c r="CT53" s="69"/>
      <c r="CU53" s="69"/>
      <c r="CV53" s="69"/>
      <c r="CW53" s="69"/>
      <c r="CX53" s="74"/>
      <c r="CY53" s="74"/>
      <c r="CZ53" s="74"/>
      <c r="DA53" s="74"/>
      <c r="DB53" s="74"/>
      <c r="DC53" s="70"/>
      <c r="DD53" s="70"/>
      <c r="DE53" s="70"/>
      <c r="DF53" s="70"/>
      <c r="DG53" s="70"/>
      <c r="DH53" s="70"/>
      <c r="DI53" s="70"/>
      <c r="DJ53" s="70"/>
      <c r="DK53" s="70"/>
      <c r="DL53" s="70"/>
      <c r="DM53" s="69"/>
      <c r="DN53" s="69"/>
      <c r="DO53" s="69"/>
      <c r="DP53" s="69"/>
      <c r="DQ53" s="69"/>
      <c r="DR53" s="69"/>
      <c r="DS53" s="69"/>
      <c r="DT53" s="77"/>
      <c r="DU53" s="77"/>
      <c r="DV53" s="71"/>
      <c r="DW53" s="71"/>
      <c r="DX53" s="166"/>
      <c r="DY53" s="392"/>
      <c r="DZ53" s="392"/>
      <c r="EA53" s="392"/>
      <c r="EB53" s="77"/>
      <c r="EC53" s="71"/>
      <c r="ED53" s="195"/>
      <c r="EE53" s="71"/>
      <c r="EF53" s="71"/>
      <c r="EG53" s="71"/>
      <c r="EH53" s="71"/>
      <c r="EI53" s="71"/>
      <c r="EJ53" s="71"/>
      <c r="EK53" s="195"/>
      <c r="EL53" s="71"/>
      <c r="EM53" s="195"/>
      <c r="EN53" s="163"/>
      <c r="EX53" s="292"/>
      <c r="EY53" s="292"/>
      <c r="EZ53" s="292"/>
      <c r="FA53" s="292"/>
      <c r="FB53" s="292"/>
      <c r="FC53" s="292"/>
      <c r="FD53" s="292"/>
      <c r="FE53" s="292"/>
    </row>
    <row r="54" spans="2:178" x14ac:dyDescent="0.25">
      <c r="B54" t="s">
        <v>185</v>
      </c>
      <c r="C54" s="10"/>
      <c r="D54" s="38" t="s">
        <v>184</v>
      </c>
      <c r="E54" s="392"/>
      <c r="F54" s="392"/>
      <c r="G54" s="392"/>
      <c r="H54" s="450"/>
      <c r="I54" s="392"/>
      <c r="J54" s="451"/>
      <c r="K54" s="392"/>
      <c r="L54" s="392"/>
      <c r="M54" s="24"/>
      <c r="N54" s="24"/>
      <c r="O54" s="396"/>
      <c r="P54" s="396"/>
      <c r="Q54" s="396"/>
      <c r="R54" s="396"/>
      <c r="S54" s="396"/>
      <c r="T54" s="396"/>
      <c r="U54" s="396"/>
      <c r="V54" s="396"/>
      <c r="W54" s="396"/>
      <c r="X54" s="4"/>
      <c r="Y54" s="4"/>
      <c r="Z54" s="4"/>
      <c r="AA54" s="4"/>
      <c r="AB54" s="4"/>
      <c r="AC54" s="4"/>
      <c r="AD54" s="4"/>
      <c r="AE54" s="4"/>
      <c r="AF54" s="4"/>
      <c r="AG54" s="396"/>
      <c r="AH54" s="396"/>
      <c r="AI54" s="396"/>
      <c r="AJ54" s="396"/>
      <c r="AK54" s="396"/>
      <c r="AL54" s="396"/>
      <c r="AM54" s="396"/>
      <c r="AN54" s="396"/>
      <c r="AO54" s="396"/>
      <c r="AP54" s="399"/>
      <c r="AQ54" s="399"/>
      <c r="AR54" s="399"/>
      <c r="AS54" s="399"/>
      <c r="AT54" s="399"/>
      <c r="AU54" s="399"/>
      <c r="AV54" s="399"/>
      <c r="AW54" s="399"/>
      <c r="AX54" s="399"/>
      <c r="AY54" s="399"/>
      <c r="AZ54" s="399"/>
      <c r="BA54" s="399"/>
      <c r="BB54" s="412"/>
      <c r="BC54" s="412"/>
      <c r="BD54" s="412"/>
      <c r="BE54" s="412"/>
      <c r="BF54" s="412"/>
      <c r="BG54" s="412"/>
      <c r="BH54" s="400"/>
      <c r="BI54" s="400"/>
      <c r="BJ54" s="400"/>
      <c r="BK54" s="400"/>
      <c r="BL54" s="400"/>
      <c r="BM54" s="400"/>
      <c r="BN54" s="400"/>
      <c r="BO54" s="400"/>
      <c r="BP54" s="400"/>
      <c r="BQ54" s="400"/>
      <c r="BR54" s="400"/>
      <c r="BS54" s="400"/>
      <c r="BT54" s="400"/>
      <c r="BU54" s="400"/>
      <c r="BV54" s="400"/>
      <c r="BW54" s="400"/>
      <c r="BX54" s="400"/>
      <c r="BY54" s="200" cm="1">
        <f t="array" ref="BY54">_xll.BDP($D54&amp;" Index","best_pe_ratio","best_fperiod_override="&amp;(BY$5-2025)&amp;"fy")</f>
        <v>20.634286660829122</v>
      </c>
      <c r="BZ54" s="452" cm="1">
        <f t="array" ref="BZ54">_xll.BDP($D54&amp;" Index","best_pe_ratio","best_fperiod_override="&amp;(BZ$5-2025)&amp;"fy")</f>
        <v>17.858563990731248</v>
      </c>
      <c r="CA54" s="452" cm="1">
        <f t="array" ref="CA54">_xll.BDP($D54&amp;" Index","best_pe_ratio","best_fperiod_override="&amp;(CA$5-2025)&amp;"fy")</f>
        <v>16.206751615810287</v>
      </c>
      <c r="CB54" s="400"/>
      <c r="CC54" s="400"/>
      <c r="CD54" s="12"/>
      <c r="CE54" s="167"/>
      <c r="CF54" s="12"/>
      <c r="CG54" s="12"/>
      <c r="CH54" s="12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8"/>
      <c r="DU54" s="78"/>
      <c r="DV54" s="6"/>
      <c r="DW54" s="6"/>
      <c r="DX54" s="166"/>
      <c r="DY54" s="392"/>
      <c r="DZ54" s="392"/>
      <c r="EA54" s="392"/>
      <c r="EB54" s="78" cm="1">
        <f t="array" ref="EB54">_xll.BDP(""&amp;$B54&amp;"","CHG_PCT_1M")/100</f>
        <v>3.2302270000000001E-2</v>
      </c>
      <c r="EC54" s="6" cm="1">
        <f t="array" ref="EC54">_xll.BDP(""&amp;$B54&amp;"","CHG_PCT_3M")/100</f>
        <v>0.1015597</v>
      </c>
      <c r="ED54" s="194" cm="1">
        <f t="array" ref="ED54">_xll.BDP(""&amp;$B54&amp;"","CHG_PCT_6M")/100</f>
        <v>0.1180842</v>
      </c>
      <c r="EE54" s="6"/>
      <c r="EF54" s="6"/>
      <c r="EG54" s="6"/>
      <c r="EH54" s="6"/>
      <c r="EI54" s="6"/>
      <c r="EJ54" s="6"/>
      <c r="EK54" s="194"/>
      <c r="EL54" s="6"/>
      <c r="EM54" s="194"/>
      <c r="EN54" s="163"/>
      <c r="EX54" s="292"/>
      <c r="EY54" s="292"/>
      <c r="EZ54" s="292"/>
      <c r="FA54" s="292"/>
      <c r="FB54" s="292"/>
      <c r="FC54" s="292"/>
      <c r="FD54" s="292"/>
      <c r="FE54" s="292"/>
    </row>
    <row r="55" spans="2:178" ht="15.75" thickBot="1" x14ac:dyDescent="0.3">
      <c r="B55" s="10" t="s">
        <v>75</v>
      </c>
      <c r="C55" s="10"/>
      <c r="D55" s="48" t="s">
        <v>74</v>
      </c>
      <c r="E55" s="49"/>
      <c r="F55" s="49"/>
      <c r="G55" s="49"/>
      <c r="H55" s="164"/>
      <c r="I55" s="49"/>
      <c r="J55" s="49"/>
      <c r="K55" s="49"/>
      <c r="L55" s="49"/>
      <c r="M55" s="50"/>
      <c r="N55" s="50"/>
      <c r="O55" s="51"/>
      <c r="P55" s="51"/>
      <c r="Q55" s="51"/>
      <c r="R55" s="51"/>
      <c r="S55" s="51"/>
      <c r="T55" s="51"/>
      <c r="U55" s="51"/>
      <c r="V55" s="51"/>
      <c r="W55" s="51"/>
      <c r="X55" s="52"/>
      <c r="Y55" s="52"/>
      <c r="Z55" s="52"/>
      <c r="AA55" s="52"/>
      <c r="AB55" s="52"/>
      <c r="AC55" s="52"/>
      <c r="AD55" s="52"/>
      <c r="AE55" s="52"/>
      <c r="AF55" s="52"/>
      <c r="AG55" s="51"/>
      <c r="AH55" s="51"/>
      <c r="AI55" s="51"/>
      <c r="AJ55" s="51"/>
      <c r="AK55" s="51"/>
      <c r="AL55" s="51"/>
      <c r="AM55" s="51"/>
      <c r="AN55" s="51"/>
      <c r="AO55" s="51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4"/>
      <c r="BC55" s="54"/>
      <c r="BD55" s="54"/>
      <c r="BE55" s="54"/>
      <c r="BF55" s="54"/>
      <c r="BG55" s="54"/>
      <c r="BH55" s="55"/>
      <c r="BI55" s="55"/>
      <c r="BJ55" s="55"/>
      <c r="BK55" s="55"/>
      <c r="BL55" s="55"/>
      <c r="BM55" s="55"/>
      <c r="BN55" s="55"/>
      <c r="BO55" s="55"/>
      <c r="BP55" s="55"/>
      <c r="BQ55" s="55"/>
      <c r="BR55" s="55"/>
      <c r="BS55" s="55"/>
      <c r="BT55" s="55"/>
      <c r="BU55" s="55"/>
      <c r="BV55" s="55"/>
      <c r="BW55" s="55"/>
      <c r="BX55" s="55"/>
      <c r="BY55" s="202" cm="1">
        <f t="array" ref="BY55">_xll.BDP($D55&amp;" Index","best_pe_ratio","best_fperiod_override="&amp;(BY$5-2025)&amp;"fy")</f>
        <v>21.819135736482117</v>
      </c>
      <c r="BZ55" s="203" cm="1">
        <f t="array" ref="BZ55">_xll.BDP($D55&amp;" Index","best_pe_ratio","best_fperiod_override="&amp;(BZ$5-2025)&amp;"fy")</f>
        <v>18.832114654618984</v>
      </c>
      <c r="CA55" s="203" cm="1">
        <f t="array" ref="CA55">_xll.BDP($D55&amp;" Index","best_pe_ratio","best_fperiod_override="&amp;(CA$5-2025)&amp;"fy")</f>
        <v>16.765530780120564</v>
      </c>
      <c r="CB55" s="203"/>
      <c r="CC55" s="203"/>
      <c r="CD55" s="56"/>
      <c r="CE55" s="170"/>
      <c r="CF55" s="56"/>
      <c r="CG55" s="56"/>
      <c r="CH55" s="56"/>
      <c r="CI55" s="57"/>
      <c r="CJ55" s="57"/>
      <c r="CK55" s="57"/>
      <c r="CL55" s="57"/>
      <c r="CM55" s="57"/>
      <c r="CN55" s="57"/>
      <c r="CO55" s="57"/>
      <c r="CP55" s="57"/>
      <c r="CQ55" s="57"/>
      <c r="CR55" s="57"/>
      <c r="CS55" s="57"/>
      <c r="CT55" s="57"/>
      <c r="CU55" s="57"/>
      <c r="CV55" s="57"/>
      <c r="CW55" s="57"/>
      <c r="CX55" s="57"/>
      <c r="CY55" s="57"/>
      <c r="CZ55" s="57"/>
      <c r="DA55" s="57"/>
      <c r="DB55" s="57"/>
      <c r="DC55" s="57"/>
      <c r="DD55" s="57"/>
      <c r="DE55" s="57"/>
      <c r="DF55" s="57"/>
      <c r="DG55" s="57"/>
      <c r="DH55" s="57"/>
      <c r="DI55" s="57"/>
      <c r="DJ55" s="57"/>
      <c r="DK55" s="57"/>
      <c r="DL55" s="57"/>
      <c r="DM55" s="57"/>
      <c r="DN55" s="57"/>
      <c r="DO55" s="57"/>
      <c r="DP55" s="57"/>
      <c r="DQ55" s="57"/>
      <c r="DR55" s="57"/>
      <c r="DS55" s="57"/>
      <c r="DT55" s="79"/>
      <c r="DU55" s="79"/>
      <c r="DV55" s="58"/>
      <c r="DW55" s="58"/>
      <c r="DX55" s="173"/>
      <c r="DY55" s="49"/>
      <c r="DZ55" s="49"/>
      <c r="EA55" s="49"/>
      <c r="EB55" s="79" cm="1">
        <f t="array" ref="EB55">_xll.BDP(""&amp;$B55&amp;"","CHG_PCT_1M")/100</f>
        <v>5.7332499999999996E-3</v>
      </c>
      <c r="EC55" s="58" cm="1">
        <f t="array" ref="EC55">_xll.BDP(""&amp;$B55&amp;"","CHG_PCT_3M")/100</f>
        <v>0.1040546</v>
      </c>
      <c r="ED55" s="196" cm="1">
        <f t="array" ref="ED55">_xll.BDP(""&amp;$B55&amp;"","CHG_PCT_6M")/100</f>
        <v>8.6882269999999998E-2</v>
      </c>
      <c r="EE55" s="58"/>
      <c r="EF55" s="58"/>
      <c r="EG55" s="58"/>
      <c r="EH55" s="58"/>
      <c r="EI55" s="58"/>
      <c r="EJ55" s="58"/>
      <c r="EK55" s="196"/>
      <c r="EL55" s="58"/>
      <c r="EM55" s="196"/>
      <c r="EN55" s="165"/>
      <c r="EX55" s="292"/>
      <c r="EY55" s="292"/>
      <c r="EZ55" s="292"/>
      <c r="FA55" s="292"/>
      <c r="FB55" s="292"/>
      <c r="FC55" s="292"/>
      <c r="FD55" s="292"/>
      <c r="FE55" s="292"/>
    </row>
    <row r="56" spans="2:178" x14ac:dyDescent="0.25">
      <c r="H56" s="149"/>
    </row>
    <row r="57" spans="2:178" x14ac:dyDescent="0.25">
      <c r="H57" s="149"/>
    </row>
  </sheetData>
  <sortState xmlns:xlrd2="http://schemas.microsoft.com/office/spreadsheetml/2017/richdata2" ref="D23:DW23">
    <sortCondition descending="1" ref="DV23"/>
  </sortState>
  <conditionalFormatting sqref="CA54 CA55:CC55">
    <cfRule type="expression" dxfId="0" priority="26">
      <formula>$C$4=0</formula>
    </cfRule>
  </conditionalFormatting>
  <conditionalFormatting sqref="DX38:DY39 DX52:DY53 DV52:DV53">
    <cfRule type="colorScale" priority="107">
      <colorScale>
        <cfvo type="num" val="0.1"/>
        <cfvo type="percentile" val="0.15"/>
        <cfvo type="num" val="0.3"/>
        <color rgb="FFF8696B"/>
        <color rgb="FFFFEB84"/>
        <color rgb="FF63BE7B"/>
      </colorScale>
    </cfRule>
  </conditionalFormatting>
  <conditionalFormatting sqref="DZ52:EA55">
    <cfRule type="colorScale" priority="480">
      <colorScale>
        <cfvo type="min"/>
        <cfvo type="max"/>
        <color rgb="FFFCFCFF"/>
        <color rgb="FF63BE7B"/>
      </colorScale>
    </cfRule>
  </conditionalFormatting>
  <conditionalFormatting sqref="DV7:DV51">
    <cfRule type="colorScale" priority="598">
      <colorScale>
        <cfvo type="min"/>
        <cfvo type="max"/>
        <color rgb="FFFFEF9C"/>
        <color rgb="FF63BE7B"/>
      </colorScale>
    </cfRule>
    <cfRule type="colorScale" priority="5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D7:ED55">
    <cfRule type="colorScale" priority="600">
      <colorScale>
        <cfvo type="min"/>
        <cfvo type="max"/>
        <color rgb="FFFFEF9C"/>
        <color rgb="FF63BE7B"/>
      </colorScale>
    </cfRule>
    <cfRule type="colorScale" priority="6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O6:FO51">
    <cfRule type="colorScale" priority="6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P6:FP51">
    <cfRule type="colorScale" priority="6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Q6:FQ51">
    <cfRule type="colorScale" priority="6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R6:FR51">
    <cfRule type="colorScale" priority="6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S6:FS51 FV10">
    <cfRule type="colorScale" priority="6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Z7:BZ44 BZ54:BZ5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N12:FS12 FV10 FN6:FN9 FN10:FS10 FN11:FN51">
    <cfRule type="colorScale" priority="62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scale="35" orientation="landscape" horizontalDpi="300" verticalDpi="300" r:id="rId1"/>
  <colBreaks count="2" manualBreakCount="2">
    <brk id="3" max="55" man="1"/>
    <brk id="161" max="1048575" man="1"/>
  </colBreaks>
  <ignoredErrors>
    <ignoredError sqref="BH5:BL5 BO5:CM5 DO5:EA5" numberStoredAsText="1"/>
    <ignoredError sqref="EI9 H25:BP25 I22:BP22 BO44:BP44 H26:BP26 J30:BP30 I29:BP29 H33:BP34 I42:BP42 H38:BP39 I36:BP37 J24:Q24 J31:BP32 EG9 I35:N35 AG35:AO35 BH35:BP35 EJ10 EJ24 EJ23 EJ21 EJ25 EJ43 EJ42 EJ27 EJ26 EJ12:EJ13 EJ11 EJ40:EJ41 EJ29:EJ30 EJ18 EJ14 EJ19 EJ22 EJ15:EJ17 X24:AI24 AP24:AR24 AY24:BP24 EJ31:EJ39 EG7 EI7" formula="1"/>
    <ignoredError sqref="DV9:DW9 DY9:EA9 DY22:EA22 DY19:EA19 DV19:DW19 DY16:EA17 DV16:DW17 DY29:EA30 DV29:DW30 DV14:EB14 DY24:EA25 DV42:DW42 DY42:EA42 DY44:EA44 DV44:DW44 DV11:DW11 DY11:EA11 DV15:EA15 DV10:EF10 DX23:EF23 DX21:EF21 EB19:EF19 DX25 DV43:EF43 DX42 DX24 DX27:EF27 DX26 DV12:EF13 DX11 DV40:EF41 DX29:DX30 DX44 EH44 DV18:EF18 EC14:EF14 DX22 DX16:DX17 EB15:EF15 EB11:EF11 EB44:EF44 EB42:EF42 EB25:EF25 EB24:EF24 EB26:EF26 EB29:EF30 EB16:EF17 EB22:EF22 DY26:EA26 DY31:EA39 DV31:DW39 DX31:DX39 EB31:EF39 DV26:DW26 DV27:DW27 DV21:DW21 DV23:DW23 DV24:DW25 DV22:DW22 DV20:DW20 DV28:DW28 DY20:EA20 DY28:EA28" formulaRange="1"/>
    <ignoredError sqref="DX19" numberStoredAsText="1" formulaRange="1"/>
    <ignoredError sqref="EI44 EG44 EH15:EH17 EH22 EH19 EH14 EG18:EI18 EH29:EH30 EG40:EI41 EH11 EG12:EI13 EH26 EG27:EI27 EH42 EG43:EI43 EH25 EG21:EI21 EG23:EI23 EG10:EI10 EG25 EG42 EG24:EI24 EI42 EI25 EI26 EG26 EG11 EI11 EI29:EI30 EG29:EG30 EI14 EG14 EI19 EG19 EG22 EI22 EI15:EI17 EG15:EG17 EH31:EH39 EI31:EI39 EG31:EG39" formula="1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821FB-9F5F-4CD3-8020-4FECE63BFC80}">
  <dimension ref="B1:EL50"/>
  <sheetViews>
    <sheetView zoomScale="85" zoomScaleNormal="85" workbookViewId="0">
      <selection activeCell="B2" sqref="B2:EJ39"/>
    </sheetView>
  </sheetViews>
  <sheetFormatPr defaultRowHeight="15" outlineLevelCol="2" x14ac:dyDescent="0.25"/>
  <cols>
    <col min="2" max="2" width="9.42578125" bestFit="1" customWidth="1"/>
    <col min="4" max="4" width="0" hidden="1" customWidth="1" outlineLevel="1"/>
    <col min="5" max="5" width="0" hidden="1" customWidth="1" outlineLevel="2"/>
    <col min="6" max="6" width="0" hidden="1" customWidth="1" outlineLevel="1" collapsed="1"/>
    <col min="7" max="74" width="0" hidden="1" customWidth="1" outlineLevel="2"/>
    <col min="75" max="75" width="0" hidden="1" customWidth="1" outlineLevel="1" collapsed="1"/>
    <col min="76" max="79" width="0" hidden="1" customWidth="1" outlineLevel="1"/>
    <col min="80" max="82" width="0" hidden="1" customWidth="1" outlineLevel="2"/>
    <col min="83" max="83" width="0" hidden="1" customWidth="1" outlineLevel="1" collapsed="1"/>
    <col min="84" max="85" width="0" hidden="1" customWidth="1" outlineLevel="1"/>
    <col min="86" max="123" width="0" hidden="1" customWidth="1" outlineLevel="2"/>
    <col min="124" max="124" width="0" hidden="1" customWidth="1" outlineLevel="1" collapsed="1"/>
    <col min="125" max="133" width="0" hidden="1" customWidth="1" outlineLevel="1"/>
    <col min="134" max="134" width="8.7109375" collapsed="1"/>
  </cols>
  <sheetData>
    <row r="1" spans="2:142" ht="15.75" thickBot="1" x14ac:dyDescent="0.3"/>
    <row r="2" spans="2:142" ht="17.25" x14ac:dyDescent="0.4">
      <c r="B2" s="248">
        <v>46161</v>
      </c>
      <c r="C2" s="288"/>
      <c r="D2" s="29"/>
      <c r="E2" s="29"/>
      <c r="F2" s="29"/>
      <c r="G2" s="29"/>
      <c r="H2" s="29"/>
      <c r="I2" s="29"/>
      <c r="J2" s="29"/>
      <c r="K2" s="29"/>
      <c r="L2" s="29"/>
      <c r="M2" s="30" t="s">
        <v>0</v>
      </c>
      <c r="N2" s="30"/>
      <c r="O2" s="30"/>
      <c r="P2" s="30"/>
      <c r="Q2" s="30"/>
      <c r="R2" s="30"/>
      <c r="S2" s="30"/>
      <c r="T2" s="30"/>
      <c r="U2" s="177"/>
      <c r="V2" s="30" t="s">
        <v>1</v>
      </c>
      <c r="W2" s="30"/>
      <c r="X2" s="30"/>
      <c r="Y2" s="30"/>
      <c r="Z2" s="30"/>
      <c r="AA2" s="30"/>
      <c r="AB2" s="30"/>
      <c r="AC2" s="30"/>
      <c r="AD2" s="177"/>
      <c r="AE2" s="30" t="s">
        <v>2</v>
      </c>
      <c r="AF2" s="30"/>
      <c r="AG2" s="30"/>
      <c r="AH2" s="30"/>
      <c r="AI2" s="30"/>
      <c r="AJ2" s="30"/>
      <c r="AK2" s="30"/>
      <c r="AL2" s="30"/>
      <c r="AM2" s="177"/>
      <c r="AN2" s="30" t="s">
        <v>31</v>
      </c>
      <c r="AO2" s="30"/>
      <c r="AP2" s="30"/>
      <c r="AQ2" s="30"/>
      <c r="AR2" s="30"/>
      <c r="AS2" s="30"/>
      <c r="AT2" s="30"/>
      <c r="AU2" s="30"/>
      <c r="AV2" s="179"/>
      <c r="AW2" s="30" t="s">
        <v>55</v>
      </c>
      <c r="AX2" s="30"/>
      <c r="AY2" s="30"/>
      <c r="AZ2" s="30"/>
      <c r="BA2" s="30"/>
      <c r="BB2" s="30"/>
      <c r="BC2" s="30"/>
      <c r="BD2" s="30"/>
      <c r="BE2" s="31"/>
      <c r="BF2" s="32" t="s">
        <v>3</v>
      </c>
      <c r="BG2" s="31"/>
      <c r="BH2" s="31"/>
      <c r="BI2" s="31"/>
      <c r="BJ2" s="30"/>
      <c r="BK2" s="30"/>
      <c r="BL2" s="31"/>
      <c r="BM2" s="32" t="s">
        <v>4</v>
      </c>
      <c r="BN2" s="31"/>
      <c r="BO2" s="31"/>
      <c r="BP2" s="31"/>
      <c r="BQ2" s="31"/>
      <c r="BR2" s="32" t="s">
        <v>5</v>
      </c>
      <c r="BS2" s="31"/>
      <c r="BT2" s="31"/>
      <c r="BU2" s="31"/>
      <c r="BV2" s="31"/>
      <c r="BW2" s="33" t="s">
        <v>45</v>
      </c>
      <c r="BX2" s="31"/>
      <c r="BY2" s="31"/>
      <c r="BZ2" s="31"/>
      <c r="CA2" s="31"/>
      <c r="CB2" s="34" t="s">
        <v>67</v>
      </c>
      <c r="CC2" s="34" t="s">
        <v>67</v>
      </c>
      <c r="CD2" s="35"/>
      <c r="CE2" s="36" t="s">
        <v>136</v>
      </c>
      <c r="CF2" s="35"/>
      <c r="CG2" s="35"/>
      <c r="CH2" s="44" t="s">
        <v>65</v>
      </c>
      <c r="CI2" s="45"/>
      <c r="CJ2" s="45"/>
      <c r="CK2" s="45"/>
      <c r="CL2" s="45"/>
      <c r="CM2" s="34" t="s">
        <v>66</v>
      </c>
      <c r="CN2" s="35"/>
      <c r="CO2" s="35"/>
      <c r="CP2" s="35"/>
      <c r="CQ2" s="35"/>
      <c r="CR2" s="34" t="s">
        <v>57</v>
      </c>
      <c r="CS2" s="35"/>
      <c r="CT2" s="35"/>
      <c r="CU2" s="35"/>
      <c r="CV2" s="35"/>
      <c r="CW2" s="34" t="s">
        <v>12</v>
      </c>
      <c r="CX2" s="35"/>
      <c r="CY2" s="35"/>
      <c r="CZ2" s="35"/>
      <c r="DA2" s="35"/>
      <c r="DB2" s="34" t="s">
        <v>60</v>
      </c>
      <c r="DC2" s="35"/>
      <c r="DD2" s="35"/>
      <c r="DE2" s="35"/>
      <c r="DF2" s="35"/>
      <c r="DG2" s="34" t="s">
        <v>11</v>
      </c>
      <c r="DH2" s="35"/>
      <c r="DI2" s="35"/>
      <c r="DJ2" s="35"/>
      <c r="DK2" s="35"/>
      <c r="DL2" s="35"/>
      <c r="DM2" s="35"/>
      <c r="DN2" s="34" t="s">
        <v>56</v>
      </c>
      <c r="DO2" s="35"/>
      <c r="DP2" s="35"/>
      <c r="DQ2" s="35"/>
      <c r="DR2" s="35"/>
      <c r="DS2" s="36" t="s">
        <v>29</v>
      </c>
      <c r="DT2" s="36" t="s">
        <v>29</v>
      </c>
      <c r="DU2" s="34"/>
      <c r="DV2" s="35"/>
      <c r="DW2" s="36" t="s">
        <v>131</v>
      </c>
      <c r="DX2" s="35"/>
      <c r="DY2" s="35"/>
      <c r="DZ2" s="35"/>
      <c r="EA2" s="36" t="s">
        <v>244</v>
      </c>
      <c r="EB2" s="35"/>
      <c r="EC2" s="191"/>
      <c r="ED2" s="34" t="s">
        <v>142</v>
      </c>
      <c r="EE2" s="35"/>
      <c r="EF2" s="35"/>
      <c r="EG2" s="35"/>
      <c r="EH2" s="35"/>
      <c r="EI2" s="35"/>
      <c r="EJ2" s="191"/>
      <c r="EK2" s="190" t="s">
        <v>99</v>
      </c>
      <c r="EL2" s="216"/>
    </row>
    <row r="3" spans="2:142" ht="34.5" x14ac:dyDescent="0.4">
      <c r="B3" s="37" t="s">
        <v>6</v>
      </c>
      <c r="C3" s="217" t="s">
        <v>211</v>
      </c>
      <c r="D3" s="16" t="s">
        <v>30</v>
      </c>
      <c r="E3" s="16" t="s">
        <v>32</v>
      </c>
      <c r="F3" s="16" t="s">
        <v>7</v>
      </c>
      <c r="G3" s="16" t="s">
        <v>8</v>
      </c>
      <c r="H3" s="16" t="s">
        <v>9</v>
      </c>
      <c r="I3" s="16" t="s">
        <v>10</v>
      </c>
      <c r="J3" s="16" t="s">
        <v>36</v>
      </c>
      <c r="K3" s="16" t="s">
        <v>11</v>
      </c>
      <c r="L3" s="16" t="s">
        <v>12</v>
      </c>
      <c r="M3" s="217">
        <v>2022</v>
      </c>
      <c r="N3" s="217">
        <v>2023</v>
      </c>
      <c r="O3" s="217">
        <v>2024</v>
      </c>
      <c r="P3" s="217">
        <v>2025</v>
      </c>
      <c r="Q3" s="217">
        <v>2026</v>
      </c>
      <c r="R3" s="217">
        <v>2027</v>
      </c>
      <c r="S3" s="217">
        <v>2028</v>
      </c>
      <c r="T3" s="217">
        <v>2029</v>
      </c>
      <c r="U3" s="178">
        <v>2030</v>
      </c>
      <c r="V3" s="217">
        <v>2022</v>
      </c>
      <c r="W3" s="217">
        <v>2023</v>
      </c>
      <c r="X3" s="217">
        <v>2024</v>
      </c>
      <c r="Y3" s="217">
        <v>2025</v>
      </c>
      <c r="Z3" s="217">
        <v>2026</v>
      </c>
      <c r="AA3" s="217">
        <v>2027</v>
      </c>
      <c r="AB3" s="217">
        <v>2028</v>
      </c>
      <c r="AC3" s="217">
        <v>2029</v>
      </c>
      <c r="AD3" s="178">
        <v>2030</v>
      </c>
      <c r="AE3" s="217">
        <v>2022</v>
      </c>
      <c r="AF3" s="217">
        <v>2023</v>
      </c>
      <c r="AG3" s="217">
        <v>2024</v>
      </c>
      <c r="AH3" s="217">
        <v>2025</v>
      </c>
      <c r="AI3" s="217">
        <v>2026</v>
      </c>
      <c r="AJ3" s="217">
        <v>2027</v>
      </c>
      <c r="AK3" s="217">
        <v>2028</v>
      </c>
      <c r="AL3" s="217">
        <v>2029</v>
      </c>
      <c r="AM3" s="178">
        <v>2030</v>
      </c>
      <c r="AN3" s="217">
        <v>2022</v>
      </c>
      <c r="AO3" s="217">
        <v>2023</v>
      </c>
      <c r="AP3" s="217">
        <v>2024</v>
      </c>
      <c r="AQ3" s="217">
        <v>2025</v>
      </c>
      <c r="AR3" s="217">
        <v>2026</v>
      </c>
      <c r="AS3" s="217">
        <v>2027</v>
      </c>
      <c r="AT3" s="217">
        <v>2028</v>
      </c>
      <c r="AU3" s="217">
        <v>2029</v>
      </c>
      <c r="AV3" s="178">
        <v>2030</v>
      </c>
      <c r="AW3" s="217">
        <v>2022</v>
      </c>
      <c r="AX3" s="217">
        <v>2023</v>
      </c>
      <c r="AY3" s="217">
        <v>2024</v>
      </c>
      <c r="AZ3" s="217">
        <v>2025</v>
      </c>
      <c r="BA3" s="217">
        <v>2026</v>
      </c>
      <c r="BB3" s="217">
        <v>2027</v>
      </c>
      <c r="BC3" s="217">
        <v>2028</v>
      </c>
      <c r="BD3" s="217">
        <v>2029</v>
      </c>
      <c r="BE3" s="217">
        <v>2030</v>
      </c>
      <c r="BF3" s="218" t="s">
        <v>13</v>
      </c>
      <c r="BG3" s="218" t="s">
        <v>14</v>
      </c>
      <c r="BH3" s="218" t="s">
        <v>15</v>
      </c>
      <c r="BI3" s="218" t="s">
        <v>16</v>
      </c>
      <c r="BJ3" s="218" t="s">
        <v>28</v>
      </c>
      <c r="BK3" s="219">
        <v>2029</v>
      </c>
      <c r="BL3" s="219">
        <v>2030</v>
      </c>
      <c r="BM3" s="201" t="s">
        <v>15</v>
      </c>
      <c r="BN3" s="201" t="s">
        <v>16</v>
      </c>
      <c r="BO3" s="201" t="s">
        <v>28</v>
      </c>
      <c r="BP3" s="201" t="s">
        <v>47</v>
      </c>
      <c r="BQ3" s="201" t="s">
        <v>48</v>
      </c>
      <c r="BR3" s="201" t="s">
        <v>15</v>
      </c>
      <c r="BS3" s="201" t="s">
        <v>16</v>
      </c>
      <c r="BT3" s="201" t="s">
        <v>28</v>
      </c>
      <c r="BU3" s="201" t="s">
        <v>47</v>
      </c>
      <c r="BV3" s="201" t="s">
        <v>48</v>
      </c>
      <c r="BW3" s="17" t="s">
        <v>15</v>
      </c>
      <c r="BX3" s="201" t="s">
        <v>16</v>
      </c>
      <c r="BY3" s="201" t="s">
        <v>28</v>
      </c>
      <c r="BZ3" s="201" t="s">
        <v>47</v>
      </c>
      <c r="CA3" s="201" t="s">
        <v>48</v>
      </c>
      <c r="CB3" s="220" t="s">
        <v>61</v>
      </c>
      <c r="CC3" s="201" t="s">
        <v>15</v>
      </c>
      <c r="CD3" s="201" t="s">
        <v>16</v>
      </c>
      <c r="CE3" s="17" t="s">
        <v>28</v>
      </c>
      <c r="CF3" s="201" t="s">
        <v>47</v>
      </c>
      <c r="CG3" s="201" t="s">
        <v>48</v>
      </c>
      <c r="CH3" s="221" t="s">
        <v>15</v>
      </c>
      <c r="CI3" s="221" t="s">
        <v>16</v>
      </c>
      <c r="CJ3" s="221" t="s">
        <v>28</v>
      </c>
      <c r="CK3" s="221" t="s">
        <v>47</v>
      </c>
      <c r="CL3" s="221" t="s">
        <v>48</v>
      </c>
      <c r="CM3" s="201" t="s">
        <v>15</v>
      </c>
      <c r="CN3" s="201" t="s">
        <v>16</v>
      </c>
      <c r="CO3" s="201" t="s">
        <v>28</v>
      </c>
      <c r="CP3" s="201" t="s">
        <v>47</v>
      </c>
      <c r="CQ3" s="201" t="s">
        <v>48</v>
      </c>
      <c r="CR3" s="201" t="s">
        <v>15</v>
      </c>
      <c r="CS3" s="201" t="s">
        <v>16</v>
      </c>
      <c r="CT3" s="201" t="s">
        <v>28</v>
      </c>
      <c r="CU3" s="201" t="s">
        <v>47</v>
      </c>
      <c r="CV3" s="201" t="s">
        <v>48</v>
      </c>
      <c r="CW3" s="201" t="s">
        <v>15</v>
      </c>
      <c r="CX3" s="201" t="s">
        <v>16</v>
      </c>
      <c r="CY3" s="201" t="s">
        <v>28</v>
      </c>
      <c r="CZ3" s="201" t="s">
        <v>47</v>
      </c>
      <c r="DA3" s="201" t="s">
        <v>48</v>
      </c>
      <c r="DB3" s="201" t="s">
        <v>15</v>
      </c>
      <c r="DC3" s="201" t="s">
        <v>16</v>
      </c>
      <c r="DD3" s="201" t="s">
        <v>28</v>
      </c>
      <c r="DE3" s="201" t="s">
        <v>47</v>
      </c>
      <c r="DF3" s="201" t="s">
        <v>48</v>
      </c>
      <c r="DG3" s="201" t="s">
        <v>15</v>
      </c>
      <c r="DH3" s="201" t="s">
        <v>16</v>
      </c>
      <c r="DI3" s="201" t="s">
        <v>28</v>
      </c>
      <c r="DJ3" s="201" t="s">
        <v>47</v>
      </c>
      <c r="DK3" s="201" t="s">
        <v>48</v>
      </c>
      <c r="DL3" s="201"/>
      <c r="DM3" s="201"/>
      <c r="DN3" s="201" t="s">
        <v>15</v>
      </c>
      <c r="DO3" s="201" t="s">
        <v>16</v>
      </c>
      <c r="DP3" s="201" t="s">
        <v>28</v>
      </c>
      <c r="DQ3" s="201" t="s">
        <v>47</v>
      </c>
      <c r="DR3" s="201" t="s">
        <v>48</v>
      </c>
      <c r="DS3" s="17" t="s">
        <v>15</v>
      </c>
      <c r="DT3" s="17" t="s">
        <v>16</v>
      </c>
      <c r="DU3" s="201" t="s">
        <v>28</v>
      </c>
      <c r="DV3" s="201" t="s">
        <v>47</v>
      </c>
      <c r="DW3" s="17" t="s">
        <v>15</v>
      </c>
      <c r="DX3" s="201" t="s">
        <v>16</v>
      </c>
      <c r="DY3" s="201" t="s">
        <v>28</v>
      </c>
      <c r="DZ3" s="201" t="s">
        <v>47</v>
      </c>
      <c r="EA3" s="17" t="s">
        <v>71</v>
      </c>
      <c r="EB3" s="201" t="s">
        <v>72</v>
      </c>
      <c r="EC3" s="193" t="s">
        <v>73</v>
      </c>
      <c r="ED3" s="222" t="s">
        <v>0</v>
      </c>
      <c r="EE3" s="366" t="s">
        <v>242</v>
      </c>
      <c r="EF3" s="222" t="s">
        <v>143</v>
      </c>
      <c r="EG3" s="222" t="s">
        <v>144</v>
      </c>
      <c r="EH3" s="366" t="s">
        <v>243</v>
      </c>
      <c r="EI3" s="222" t="s">
        <v>246</v>
      </c>
      <c r="EJ3" s="192" t="s">
        <v>147</v>
      </c>
      <c r="EK3" s="201" t="s">
        <v>64</v>
      </c>
      <c r="EL3" s="193" t="s">
        <v>100</v>
      </c>
    </row>
    <row r="4" spans="2:142" x14ac:dyDescent="0.25">
      <c r="B4" s="38" t="s">
        <v>228</v>
      </c>
      <c r="D4" s="186">
        <v>46140</v>
      </c>
      <c r="E4" s="147"/>
      <c r="F4" s="373">
        <v>2205</v>
      </c>
      <c r="G4" s="3">
        <v>25930</v>
      </c>
      <c r="H4" s="355">
        <v>-3192142.338</v>
      </c>
      <c r="I4" s="370">
        <v>1036072.4090000001</v>
      </c>
      <c r="J4" s="3"/>
      <c r="K4" s="76">
        <v>-2156069.929</v>
      </c>
      <c r="L4" s="76">
        <v>55019580.071000002</v>
      </c>
      <c r="M4" s="3">
        <v>2263891.2920000004</v>
      </c>
      <c r="N4" s="3">
        <v>2161735.841</v>
      </c>
      <c r="O4" s="3">
        <v>2894307.699</v>
      </c>
      <c r="P4" s="3">
        <v>3809054.2720000003</v>
      </c>
      <c r="Q4" s="3">
        <v>5039894.5114200003</v>
      </c>
      <c r="R4" s="3">
        <v>6594728.4505037507</v>
      </c>
      <c r="S4" s="3">
        <v>8633128.6523939371</v>
      </c>
      <c r="T4" s="3">
        <v>10355420.635415616</v>
      </c>
      <c r="U4" s="3">
        <v>12283063.276592026</v>
      </c>
      <c r="V4" s="4">
        <v>0.59559167472604935</v>
      </c>
      <c r="W4" s="4">
        <v>0.54359584816635331</v>
      </c>
      <c r="X4" s="4">
        <v>0.5612235231800764</v>
      </c>
      <c r="Y4" s="4">
        <v>0.59891348773095132</v>
      </c>
      <c r="Z4" s="4">
        <v>0.66920043758926462</v>
      </c>
      <c r="AA4" s="4">
        <v>0.66322767698730067</v>
      </c>
      <c r="AB4" s="4">
        <v>0.65343679209090744</v>
      </c>
      <c r="AC4" s="4">
        <v>0.62939630823899906</v>
      </c>
      <c r="AD4" s="4">
        <v>0.61454738924193786</v>
      </c>
      <c r="AE4" s="144">
        <v>1348354.8059999999</v>
      </c>
      <c r="AF4" s="144">
        <v>1175110.628</v>
      </c>
      <c r="AG4" s="144">
        <v>1624353.564</v>
      </c>
      <c r="AH4" s="144">
        <v>2281293.9789999998</v>
      </c>
      <c r="AI4" s="144">
        <v>3372699.6124459971</v>
      </c>
      <c r="AJ4" s="144">
        <v>4373806.4305896638</v>
      </c>
      <c r="AK4" s="144">
        <v>5641203.8923283927</v>
      </c>
      <c r="AL4" s="144">
        <v>6517663.5181925381</v>
      </c>
      <c r="AM4" s="144">
        <v>7548524.4685231522</v>
      </c>
      <c r="AN4" s="371">
        <v>39.204375371205984</v>
      </c>
      <c r="AO4" s="371">
        <v>32.338218365536655</v>
      </c>
      <c r="AP4" s="371">
        <v>45.2475010798303</v>
      </c>
      <c r="AQ4" s="371">
        <v>66.248221318113451</v>
      </c>
      <c r="AR4" s="371">
        <v>94.048579854356262</v>
      </c>
      <c r="AS4" s="371">
        <v>122.02140668834727</v>
      </c>
      <c r="AT4" s="371">
        <v>157.55569763153804</v>
      </c>
      <c r="AU4" s="371">
        <v>182.32035540343171</v>
      </c>
      <c r="AV4" s="371">
        <v>211.90932030790955</v>
      </c>
      <c r="AW4" s="145">
        <v>39.204375371205984</v>
      </c>
      <c r="AX4" s="145">
        <v>32.338218365536655</v>
      </c>
      <c r="AY4" s="145">
        <v>45.2475010798303</v>
      </c>
      <c r="AZ4" s="145">
        <v>66.248221318113451</v>
      </c>
      <c r="BA4" s="145">
        <v>94.048579854356262</v>
      </c>
      <c r="BB4" s="145">
        <v>122.02140668834727</v>
      </c>
      <c r="BC4" s="145">
        <v>157.55569763153804</v>
      </c>
      <c r="BD4" s="145">
        <v>182.32035540343171</v>
      </c>
      <c r="BE4" s="145">
        <v>211.90932030790955</v>
      </c>
      <c r="BF4" s="5">
        <v>19.009582184371613</v>
      </c>
      <c r="BG4" s="5">
        <v>14.444420095414172</v>
      </c>
      <c r="BH4" s="5">
        <v>10.916811839281557</v>
      </c>
      <c r="BI4" s="5">
        <v>8.3429636995587337</v>
      </c>
      <c r="BJ4" s="5">
        <v>6.3730754268029193</v>
      </c>
      <c r="BK4" s="5">
        <v>5.3131188010685566</v>
      </c>
      <c r="BL4" s="5">
        <v>4.4793044562305111</v>
      </c>
      <c r="BM4" s="5">
        <v>16.31321682724597</v>
      </c>
      <c r="BN4" s="5">
        <v>12.579335858624733</v>
      </c>
      <c r="BO4" s="5">
        <v>9.7531628214719266</v>
      </c>
      <c r="BP4" s="5">
        <v>8.4416110033028975</v>
      </c>
      <c r="BQ4" s="5">
        <v>7.2887860800382924</v>
      </c>
      <c r="BR4" s="5">
        <v>23.445330098707132</v>
      </c>
      <c r="BS4" s="5">
        <v>18.070599740189454</v>
      </c>
      <c r="BT4" s="5">
        <v>13.995050849615378</v>
      </c>
      <c r="BU4" s="5">
        <v>12.094096652679609</v>
      </c>
      <c r="BV4" s="5">
        <v>10.405394141211344</v>
      </c>
      <c r="BW4" s="8">
        <v>23.445330098707132</v>
      </c>
      <c r="BX4" s="5">
        <v>18.070599740189454</v>
      </c>
      <c r="BY4" s="5">
        <v>13.995050849615378</v>
      </c>
      <c r="BZ4" s="5">
        <v>12.094096652679609</v>
      </c>
      <c r="CA4" s="5">
        <v>10.405394141211344</v>
      </c>
      <c r="CC4" s="12">
        <v>20</v>
      </c>
      <c r="CD4" s="12">
        <v>20</v>
      </c>
      <c r="CE4" s="168">
        <v>20</v>
      </c>
      <c r="CF4" s="82">
        <v>20</v>
      </c>
      <c r="CG4" s="82">
        <v>18</v>
      </c>
      <c r="CH4" s="46"/>
      <c r="CI4" s="46"/>
      <c r="CJ4" s="46"/>
      <c r="CK4" s="46"/>
      <c r="CL4" s="46"/>
      <c r="CM4" s="356">
        <v>2558.1659564813117</v>
      </c>
      <c r="CN4" s="356">
        <v>3322.476907182705</v>
      </c>
      <c r="CO4" s="356">
        <v>3888.5980561860647</v>
      </c>
      <c r="CP4" s="356">
        <v>4566.6876637116075</v>
      </c>
      <c r="CQ4" s="7"/>
      <c r="CR4" s="357">
        <v>117.73782271436647</v>
      </c>
      <c r="CS4" s="357">
        <v>171.36295455194426</v>
      </c>
      <c r="CT4" s="357">
        <v>242.19094811743076</v>
      </c>
      <c r="CU4" s="357">
        <v>328.50125755341639</v>
      </c>
      <c r="CV4" s="357">
        <v>431.59469101139479</v>
      </c>
      <c r="CW4" s="41"/>
      <c r="CX4" s="41"/>
      <c r="CY4" s="41"/>
      <c r="CZ4" s="41"/>
      <c r="DA4" s="19"/>
      <c r="DB4" s="40">
        <v>25931</v>
      </c>
      <c r="DC4" s="40">
        <v>25931</v>
      </c>
      <c r="DD4" s="40">
        <v>25931</v>
      </c>
      <c r="DE4" s="40">
        <v>25931</v>
      </c>
      <c r="DF4" s="40">
        <v>25931</v>
      </c>
      <c r="DG4" s="40"/>
      <c r="DH4" s="40"/>
      <c r="DI4" s="40"/>
      <c r="DJ4" s="40"/>
      <c r="DK4" s="40"/>
      <c r="DL4" s="7"/>
      <c r="DM4" s="7"/>
      <c r="DN4" s="357">
        <v>22.501021894643479</v>
      </c>
      <c r="DO4" s="357">
        <v>28.126277368304351</v>
      </c>
      <c r="DP4" s="357">
        <v>35.15784671038044</v>
      </c>
      <c r="DQ4" s="357">
        <v>43.947308387975554</v>
      </c>
      <c r="DR4" s="357">
        <v>54.934135484969445</v>
      </c>
      <c r="DS4" s="78">
        <v>0.28236730811758459</v>
      </c>
      <c r="DT4" s="78">
        <v>0.29819308850041715</v>
      </c>
      <c r="DU4" s="6">
        <v>0.25120850250560567</v>
      </c>
      <c r="DV4" s="6">
        <v>0.2317091898080561</v>
      </c>
      <c r="DW4" s="171">
        <v>1.1703705117351271</v>
      </c>
      <c r="DX4" s="132">
        <v>1.5297524745785274</v>
      </c>
      <c r="DY4" s="132">
        <v>1.8024413615235342</v>
      </c>
      <c r="DZ4" s="132">
        <v>2.1298957451577829</v>
      </c>
      <c r="EA4" s="78">
        <v>8.6206900000000003E-2</v>
      </c>
      <c r="EB4" s="6">
        <v>0.15143599999999999</v>
      </c>
      <c r="EC4" s="194">
        <v>0.58064519999999997</v>
      </c>
      <c r="ED4" s="363">
        <v>0.26179136160555005</v>
      </c>
      <c r="EE4" s="175">
        <v>-2.5932014454369101E-2</v>
      </c>
      <c r="EF4" s="363">
        <v>0.23585934715118095</v>
      </c>
      <c r="EG4" s="6">
        <v>4.19357375605377E-2</v>
      </c>
      <c r="EH4" s="363">
        <v>0.27779508471171865</v>
      </c>
      <c r="EI4" s="6">
        <v>-2.6586582206112985E-2</v>
      </c>
      <c r="EJ4" s="194">
        <v>0.25120850250560567</v>
      </c>
      <c r="EK4" s="6">
        <v>0.24557942093788609</v>
      </c>
      <c r="EL4" s="194">
        <v>0.24688855578839775</v>
      </c>
    </row>
    <row r="5" spans="2:142" x14ac:dyDescent="0.25">
      <c r="B5" s="38" t="s">
        <v>68</v>
      </c>
      <c r="C5" s="291">
        <v>2</v>
      </c>
      <c r="D5" s="143">
        <v>46016</v>
      </c>
      <c r="E5" s="147"/>
      <c r="F5" s="149">
        <v>184.41490173339844</v>
      </c>
      <c r="G5" s="3">
        <v>2922</v>
      </c>
      <c r="H5" s="25">
        <v>-19766</v>
      </c>
      <c r="I5" s="3">
        <v>108075</v>
      </c>
      <c r="J5" s="3">
        <v>506</v>
      </c>
      <c r="K5" s="76">
        <v>88309</v>
      </c>
      <c r="L5" s="76">
        <v>627675.34286499023</v>
      </c>
      <c r="M5" s="3">
        <v>46823.166666666672</v>
      </c>
      <c r="N5" s="3">
        <v>51708.083333333336</v>
      </c>
      <c r="O5" s="3">
        <v>55549.833333333336</v>
      </c>
      <c r="P5" s="3">
        <v>62562.083333333336</v>
      </c>
      <c r="Q5" s="3">
        <v>77012.5</v>
      </c>
      <c r="R5" s="3">
        <v>103966.33333333334</v>
      </c>
      <c r="S5" s="3">
        <v>130624.98666666666</v>
      </c>
      <c r="T5" s="3">
        <v>149866.65280000001</v>
      </c>
      <c r="U5" s="3">
        <v>167111.31891200002</v>
      </c>
      <c r="V5" s="4">
        <v>0.7619269663521262</v>
      </c>
      <c r="W5" s="4">
        <v>0.73268847391687641</v>
      </c>
      <c r="X5" s="4">
        <v>0.72284795333919394</v>
      </c>
      <c r="Y5" s="4">
        <v>0.68592364917515269</v>
      </c>
      <c r="Z5" s="4">
        <v>0.6361296867391657</v>
      </c>
      <c r="AA5" s="4">
        <v>0.5671562268554885</v>
      </c>
      <c r="AB5" s="4">
        <v>0.54624472050982797</v>
      </c>
      <c r="AC5" s="4">
        <v>0.54999999999999993</v>
      </c>
      <c r="AD5" s="4">
        <v>0.55000000000000004</v>
      </c>
      <c r="AE5" s="146">
        <v>35675.833333333336</v>
      </c>
      <c r="AF5" s="3">
        <v>37885.916666666672</v>
      </c>
      <c r="AG5" s="3">
        <v>40154.083333333336</v>
      </c>
      <c r="AH5" s="3">
        <v>42912.8125</v>
      </c>
      <c r="AI5" s="3">
        <v>48989.9375</v>
      </c>
      <c r="AJ5" s="3">
        <v>58965.153333333343</v>
      </c>
      <c r="AK5" s="3">
        <v>71353.209333333332</v>
      </c>
      <c r="AL5" s="3">
        <v>82426.659039999999</v>
      </c>
      <c r="AM5" s="3">
        <v>91911.225401600008</v>
      </c>
      <c r="AN5" s="11">
        <v>5.0327384737273118</v>
      </c>
      <c r="AO5" s="11">
        <v>5.3817053595235294</v>
      </c>
      <c r="AP5" s="11">
        <v>5.836661880111671</v>
      </c>
      <c r="AQ5" s="11">
        <v>6.1956216747730233</v>
      </c>
      <c r="AR5" s="11">
        <v>7.1496288462425142</v>
      </c>
      <c r="AS5" s="11">
        <v>8.6706219451156059</v>
      </c>
      <c r="AT5" s="11">
        <v>10.806072571790086</v>
      </c>
      <c r="AU5" s="11">
        <v>12.978162419641425</v>
      </c>
      <c r="AV5" s="11">
        <v>15.177568439014676</v>
      </c>
      <c r="AW5" s="11">
        <v>4.079363587349162</v>
      </c>
      <c r="AX5" s="11">
        <v>4.2709301584585226</v>
      </c>
      <c r="AY5" s="11">
        <v>4.5984826964900281</v>
      </c>
      <c r="AZ5" s="11">
        <v>4.8844799813437794</v>
      </c>
      <c r="BA5" s="11">
        <v>5.6197485015707542</v>
      </c>
      <c r="BB5" s="11">
        <v>6.5941229446705805</v>
      </c>
      <c r="BC5" s="11">
        <v>8.18408384462915</v>
      </c>
      <c r="BD5" s="11">
        <v>9.9518600769993313</v>
      </c>
      <c r="BE5" s="11">
        <v>11.75851672245688</v>
      </c>
      <c r="BF5" s="5">
        <v>11.299320001529981</v>
      </c>
      <c r="BG5" s="5">
        <v>10.032839531904818</v>
      </c>
      <c r="BH5" s="5">
        <v>8.1503047279985754</v>
      </c>
      <c r="BI5" s="5">
        <v>6.0372942157396166</v>
      </c>
      <c r="BJ5" s="5">
        <v>4.8051705793985171</v>
      </c>
      <c r="BK5" s="5">
        <v>4.1882255400915325</v>
      </c>
      <c r="BL5" s="5">
        <v>3.756031290708207</v>
      </c>
      <c r="BM5" s="5">
        <v>12.812331978684199</v>
      </c>
      <c r="BN5" s="5">
        <v>10.644852211554612</v>
      </c>
      <c r="BO5" s="5">
        <v>8.7967359664615081</v>
      </c>
      <c r="BP5" s="5">
        <v>7.6149555274391512</v>
      </c>
      <c r="BQ5" s="5">
        <v>6.8291478012876494</v>
      </c>
      <c r="BR5" s="5">
        <v>25.793632886316558</v>
      </c>
      <c r="BS5" s="5">
        <v>21.268935827294868</v>
      </c>
      <c r="BT5" s="5">
        <v>17.065858155980262</v>
      </c>
      <c r="BU5" s="5">
        <v>14.209631207442822</v>
      </c>
      <c r="BV5" s="5">
        <v>12.150490539667144</v>
      </c>
      <c r="BW5" s="8">
        <v>32.815507968346509</v>
      </c>
      <c r="BX5" s="5">
        <v>27.966554958221387</v>
      </c>
      <c r="BY5" s="5">
        <v>22.533359290352546</v>
      </c>
      <c r="BZ5" s="5">
        <v>18.530696805074346</v>
      </c>
      <c r="CA5" s="5">
        <v>15.683517410082478</v>
      </c>
      <c r="CC5" s="12">
        <v>22</v>
      </c>
      <c r="CD5" s="12">
        <v>22</v>
      </c>
      <c r="CE5" s="167">
        <v>22</v>
      </c>
      <c r="CF5" s="12">
        <v>22</v>
      </c>
      <c r="CG5" s="12">
        <v>27</v>
      </c>
      <c r="CH5" s="46">
        <v>178.04131950610568</v>
      </c>
      <c r="CI5" s="46">
        <v>220.97026380498704</v>
      </c>
      <c r="CJ5" s="46">
        <v>268.70022207898194</v>
      </c>
      <c r="CK5" s="46">
        <v>317.47995150633579</v>
      </c>
      <c r="CL5" s="46"/>
      <c r="CM5" s="43">
        <v>145.07070478275278</v>
      </c>
      <c r="CN5" s="43">
        <v>180.04984458184128</v>
      </c>
      <c r="CO5" s="43">
        <v>218.94092169398527</v>
      </c>
      <c r="CP5" s="43">
        <v>258.68736789405136</v>
      </c>
      <c r="CQ5" s="7"/>
      <c r="CR5" s="7"/>
      <c r="CS5" s="7"/>
      <c r="CT5" s="7"/>
      <c r="CU5" s="7"/>
      <c r="CV5" s="7"/>
      <c r="CW5" s="41"/>
      <c r="CX5" s="41"/>
      <c r="CY5" s="41"/>
      <c r="CZ5" s="41"/>
      <c r="DA5" s="19"/>
      <c r="DB5" s="40">
        <v>2876.5202339157863</v>
      </c>
      <c r="DC5" s="40">
        <v>2915.0937851038657</v>
      </c>
      <c r="DD5" s="40">
        <v>2942.9543053725347</v>
      </c>
      <c r="DE5" s="40">
        <v>2921.0293424559113</v>
      </c>
      <c r="DF5" s="40">
        <v>2857.4351780159996</v>
      </c>
      <c r="DG5" s="40"/>
      <c r="DH5" s="40"/>
      <c r="DI5" s="40"/>
      <c r="DJ5" s="40"/>
      <c r="DK5" s="40"/>
      <c r="DL5" s="7"/>
      <c r="DM5" s="7"/>
      <c r="DN5" s="7">
        <v>1.9529573569848822</v>
      </c>
      <c r="DO5" s="7">
        <v>2.0588007247532594</v>
      </c>
      <c r="DP5" s="7">
        <v>2.3470286411656622</v>
      </c>
      <c r="DQ5" s="7">
        <v>2.5646851814076257</v>
      </c>
      <c r="DR5" s="7"/>
      <c r="DS5" s="78">
        <v>-0.31212683684755582</v>
      </c>
      <c r="DT5" s="78">
        <v>-3.6780882161135953E-3</v>
      </c>
      <c r="DU5" s="6">
        <v>7.808934203949236E-2</v>
      </c>
      <c r="DV5" s="6">
        <v>0.10750786979756266</v>
      </c>
      <c r="DW5" s="171">
        <v>0.79724393613420752</v>
      </c>
      <c r="DX5" s="132">
        <v>0.99808421626181953</v>
      </c>
      <c r="DY5" s="132">
        <v>1.2217001245517363</v>
      </c>
      <c r="DZ5" s="132">
        <v>1.4511345736324364</v>
      </c>
      <c r="EA5" s="78">
        <v>5.2353490000000003E-2</v>
      </c>
      <c r="EB5" s="6">
        <v>0.17685580000000001</v>
      </c>
      <c r="EC5" s="194">
        <v>-0.18314640000000001</v>
      </c>
      <c r="ED5" s="363">
        <v>0.22927264720578866</v>
      </c>
      <c r="EE5" s="175">
        <v>-1.0922199615033268E-2</v>
      </c>
      <c r="EF5" s="363">
        <v>0.21835044759075539</v>
      </c>
      <c r="EG5" s="6">
        <v>7.4187421746872984E-3</v>
      </c>
      <c r="EH5" s="363">
        <v>0.22576918976544269</v>
      </c>
      <c r="EI5" s="6">
        <v>-0.14767984772595033</v>
      </c>
      <c r="EJ5" s="194">
        <v>7.808934203949236E-2</v>
      </c>
      <c r="EK5" s="6">
        <v>0.18937901198475959</v>
      </c>
      <c r="EL5" s="194">
        <v>0.20984330909268278</v>
      </c>
    </row>
    <row r="6" spans="2:142" x14ac:dyDescent="0.25">
      <c r="B6" s="38" t="s">
        <v>153</v>
      </c>
      <c r="D6" s="186">
        <v>46119</v>
      </c>
      <c r="E6" s="147"/>
      <c r="F6" s="149">
        <v>68.050003051757813</v>
      </c>
      <c r="G6" s="3">
        <v>121.849</v>
      </c>
      <c r="H6" s="25"/>
      <c r="I6" s="3"/>
      <c r="J6" s="3"/>
      <c r="K6" s="76">
        <v>0</v>
      </c>
      <c r="L6" s="76">
        <v>8291.8248218536373</v>
      </c>
      <c r="M6" s="3">
        <v>280.04000000000002</v>
      </c>
      <c r="N6" s="3">
        <v>349.88599999999997</v>
      </c>
      <c r="O6" s="3">
        <v>428.488</v>
      </c>
      <c r="P6" s="3">
        <v>531.84</v>
      </c>
      <c r="Q6" s="3">
        <v>665.41555203977373</v>
      </c>
      <c r="R6" s="3">
        <v>826.13258277577529</v>
      </c>
      <c r="S6" s="3">
        <v>1017.0983868649578</v>
      </c>
      <c r="T6" s="3">
        <v>1241.1345670872558</v>
      </c>
      <c r="U6" s="3">
        <v>1500.5795685611372</v>
      </c>
      <c r="V6" s="21">
        <v>0.83985144979288684</v>
      </c>
      <c r="W6" s="21">
        <v>0.83739275078168318</v>
      </c>
      <c r="X6" s="21">
        <v>0.83796045630216009</v>
      </c>
      <c r="Y6" s="21">
        <v>0.83345743080625756</v>
      </c>
      <c r="Z6" s="21">
        <v>0.82674118443047218</v>
      </c>
      <c r="AA6" s="21">
        <v>0.82153891563048254</v>
      </c>
      <c r="AB6" s="21">
        <v>0.81749486601276322</v>
      </c>
      <c r="AC6" s="21">
        <v>0.81433688213338518</v>
      </c>
      <c r="AD6" s="21">
        <v>0.81185808495117806</v>
      </c>
      <c r="AE6" s="144">
        <v>235.19200000000004</v>
      </c>
      <c r="AF6" s="144">
        <v>292.99199999999996</v>
      </c>
      <c r="AG6" s="144">
        <v>359.05599999999998</v>
      </c>
      <c r="AH6" s="144">
        <v>443.26600000000002</v>
      </c>
      <c r="AI6" s="144">
        <v>550.12644163181903</v>
      </c>
      <c r="AJ6" s="144">
        <v>678.70006622062033</v>
      </c>
      <c r="AK6" s="144">
        <v>831.47270949196627</v>
      </c>
      <c r="AL6" s="144">
        <v>1010.7016536698047</v>
      </c>
      <c r="AM6" s="144">
        <v>1218.2576548489099</v>
      </c>
      <c r="AN6" s="11">
        <v>3.5418991216776712E-2</v>
      </c>
      <c r="AO6" s="11">
        <v>0.51477075747709355</v>
      </c>
      <c r="AP6" s="11">
        <v>0.64781767548387659</v>
      </c>
      <c r="AQ6" s="11">
        <v>0.82052376301816266</v>
      </c>
      <c r="AR6" s="11">
        <v>0.97873872751853797</v>
      </c>
      <c r="AS6" s="11">
        <v>1.3183562165203631</v>
      </c>
      <c r="AT6" s="11">
        <v>1.7754966780071457</v>
      </c>
      <c r="AU6" s="11">
        <v>2.378892360468583</v>
      </c>
      <c r="AV6" s="11">
        <v>3.162258959832029</v>
      </c>
      <c r="AW6" s="11">
        <v>-0.6193745887334422</v>
      </c>
      <c r="AX6" s="11">
        <v>-0.35809342125778487</v>
      </c>
      <c r="AY6" s="11">
        <v>-0.48959372587123834</v>
      </c>
      <c r="AZ6" s="11">
        <v>-0.46514128142208722</v>
      </c>
      <c r="BA6" s="11">
        <v>-0.30251127248146203</v>
      </c>
      <c r="BB6" s="11">
        <v>-0.11451466176657742</v>
      </c>
      <c r="BC6" s="11">
        <v>0.17248503127951523</v>
      </c>
      <c r="BD6" s="11">
        <v>0.58446618761991076</v>
      </c>
      <c r="BE6" s="11">
        <v>1.1519036815050219</v>
      </c>
      <c r="BF6" s="5">
        <v>19.351358315410554</v>
      </c>
      <c r="BG6" s="5">
        <v>15.590825853364992</v>
      </c>
      <c r="BH6" s="5">
        <v>12.461122672044208</v>
      </c>
      <c r="BI6" s="5">
        <v>10.036917795922548</v>
      </c>
      <c r="BJ6" s="5">
        <v>8.1524313959555617</v>
      </c>
      <c r="BK6" s="5">
        <v>6.6808427077437891</v>
      </c>
      <c r="BL6" s="5">
        <v>5.5257481812873346</v>
      </c>
      <c r="BM6" s="5">
        <v>15.072580036796476</v>
      </c>
      <c r="BN6" s="5">
        <v>12.217215283368295</v>
      </c>
      <c r="BO6" s="5">
        <v>9.9724557729862013</v>
      </c>
      <c r="BP6" s="5">
        <v>8.2040281538537663</v>
      </c>
      <c r="BQ6" s="5">
        <v>6.8062981495338946</v>
      </c>
      <c r="BR6" s="5">
        <v>69.528262383455044</v>
      </c>
      <c r="BS6" s="5">
        <v>51.617311162962707</v>
      </c>
      <c r="BT6" s="5">
        <v>38.32730519560225</v>
      </c>
      <c r="BU6" s="5">
        <v>28.60575122379797</v>
      </c>
      <c r="BV6" s="5">
        <v>21.519427699043487</v>
      </c>
      <c r="BW6" s="199" t="s">
        <v>24</v>
      </c>
      <c r="BX6" s="229" t="s">
        <v>24</v>
      </c>
      <c r="BY6" s="5">
        <v>394.52700647096447</v>
      </c>
      <c r="BZ6" s="5">
        <v>116.43103483688948</v>
      </c>
      <c r="CA6" s="5">
        <v>59.076122547717667</v>
      </c>
      <c r="CC6" s="12">
        <v>7</v>
      </c>
      <c r="CD6" s="12">
        <v>7</v>
      </c>
      <c r="CE6" s="167">
        <v>7</v>
      </c>
      <c r="CF6" s="12">
        <v>7</v>
      </c>
      <c r="CG6" s="82">
        <v>6</v>
      </c>
      <c r="CH6" s="46"/>
      <c r="CI6" s="46"/>
      <c r="CJ6" s="46"/>
      <c r="CK6" s="46"/>
      <c r="CL6" s="46"/>
      <c r="CM6" s="176">
        <v>45.081324632093754</v>
      </c>
      <c r="CN6" s="176">
        <v>55.65952459050601</v>
      </c>
      <c r="CO6" s="176">
        <v>68.487062043959824</v>
      </c>
      <c r="CP6" s="176">
        <v>83.98903842312339</v>
      </c>
      <c r="CQ6" s="7"/>
      <c r="CR6" s="7"/>
      <c r="CS6" s="7"/>
      <c r="CT6" s="7"/>
      <c r="CU6" s="7"/>
      <c r="CV6" s="7"/>
      <c r="CW6" s="41"/>
      <c r="CX6" s="41"/>
      <c r="CY6" s="41"/>
      <c r="CZ6" s="41"/>
      <c r="DA6" s="19"/>
      <c r="DB6" s="40">
        <v>128</v>
      </c>
      <c r="DC6" s="40">
        <v>128.27768763727752</v>
      </c>
      <c r="DD6" s="40">
        <v>127.915011140234</v>
      </c>
      <c r="DE6" s="40">
        <v>126.85522944515063</v>
      </c>
      <c r="DF6" s="40">
        <v>125.06461768272897</v>
      </c>
      <c r="DG6" s="40"/>
      <c r="DH6" s="40"/>
      <c r="DI6" s="40"/>
      <c r="DJ6" s="40"/>
      <c r="DK6" s="40"/>
      <c r="DL6" s="7"/>
      <c r="DM6" s="7"/>
      <c r="DN6" s="7"/>
      <c r="DO6" s="7"/>
      <c r="DP6" s="7"/>
      <c r="DQ6" s="7"/>
      <c r="DR6" s="7"/>
      <c r="DS6" s="78">
        <v>-0.48574414372095442</v>
      </c>
      <c r="DT6" s="78">
        <v>-0.11673552772590101</v>
      </c>
      <c r="DU6" s="6">
        <v>2.4472978616403296E-3</v>
      </c>
      <c r="DV6" s="6">
        <v>5.9870543218874639E-2</v>
      </c>
      <c r="DW6" s="171">
        <v>0.66247351374555519</v>
      </c>
      <c r="DX6" s="132">
        <v>0.81792097126244367</v>
      </c>
      <c r="DY6" s="132">
        <v>1.0064226153211131</v>
      </c>
      <c r="DZ6" s="132">
        <v>1.2342253439613013</v>
      </c>
      <c r="EA6" s="78">
        <v>0.54238439999999999</v>
      </c>
      <c r="EB6" s="6">
        <v>0.35315170000000001</v>
      </c>
      <c r="EC6" s="194">
        <v>0.11814</v>
      </c>
      <c r="ED6" s="363">
        <v>0.22679692258853712</v>
      </c>
      <c r="EE6" s="189" t="s">
        <v>24</v>
      </c>
      <c r="EF6" s="365" t="s">
        <v>24</v>
      </c>
      <c r="EG6" s="189" t="s">
        <v>24</v>
      </c>
      <c r="EH6" s="365" t="s">
        <v>24</v>
      </c>
      <c r="EI6" s="189" t="s">
        <v>24</v>
      </c>
      <c r="EJ6" s="194">
        <v>2.4472978616403296E-3</v>
      </c>
      <c r="EK6" s="6">
        <v>0.2247670261647936</v>
      </c>
      <c r="EL6" s="235" t="s">
        <v>24</v>
      </c>
    </row>
    <row r="7" spans="2:142" x14ac:dyDescent="0.25">
      <c r="B7" s="38" t="s">
        <v>165</v>
      </c>
      <c r="D7" s="186">
        <v>46119</v>
      </c>
      <c r="E7" s="147"/>
      <c r="F7" s="149">
        <v>31.25</v>
      </c>
      <c r="G7" s="3">
        <v>584</v>
      </c>
      <c r="H7" s="25"/>
      <c r="I7" s="3"/>
      <c r="J7" s="3"/>
      <c r="K7" s="76">
        <v>0</v>
      </c>
      <c r="L7" s="76">
        <v>18250</v>
      </c>
      <c r="M7" s="3">
        <v>652.54500000000007</v>
      </c>
      <c r="N7" s="3">
        <v>937.38499999999999</v>
      </c>
      <c r="O7" s="3">
        <v>1249.1990000000001</v>
      </c>
      <c r="P7" s="3">
        <v>1597</v>
      </c>
      <c r="Q7" s="3">
        <v>2015.4619432</v>
      </c>
      <c r="R7" s="3">
        <v>2499.0954630532001</v>
      </c>
      <c r="S7" s="3">
        <v>3043.4160714545396</v>
      </c>
      <c r="T7" s="3">
        <v>3647.0294470982017</v>
      </c>
      <c r="U7" s="3">
        <v>4306.7083294945915</v>
      </c>
      <c r="V7" s="21">
        <v>0.73459301657356946</v>
      </c>
      <c r="W7" s="21">
        <v>0.75004187180294113</v>
      </c>
      <c r="X7" s="21">
        <v>0.77347724421809494</v>
      </c>
      <c r="Y7" s="21">
        <v>0.77457733249843452</v>
      </c>
      <c r="Z7" s="21">
        <v>0.77570321829731492</v>
      </c>
      <c r="AA7" s="21">
        <v>0.77653474621997043</v>
      </c>
      <c r="AB7" s="21">
        <v>0.7771545132848493</v>
      </c>
      <c r="AC7" s="21">
        <v>0.7776254647444949</v>
      </c>
      <c r="AD7" s="21">
        <v>0.77798918353938862</v>
      </c>
      <c r="AE7" s="144">
        <v>479.35499999999996</v>
      </c>
      <c r="AF7" s="144">
        <v>703.07799999999997</v>
      </c>
      <c r="AG7" s="144">
        <v>966.22700000000009</v>
      </c>
      <c r="AH7" s="144">
        <v>1237</v>
      </c>
      <c r="AI7" s="144">
        <v>1563.400315696</v>
      </c>
      <c r="AJ7" s="144">
        <v>1940.6344611814961</v>
      </c>
      <c r="AK7" s="144">
        <v>2365.204535734541</v>
      </c>
      <c r="AL7" s="144">
        <v>2836.0229687365972</v>
      </c>
      <c r="AM7" s="144">
        <v>3350.5724970057813</v>
      </c>
      <c r="AN7" s="11">
        <v>-0.12627770326248658</v>
      </c>
      <c r="AO7" s="11">
        <v>6.7343595126815495E-2</v>
      </c>
      <c r="AP7" s="11">
        <v>0.25699684937716399</v>
      </c>
      <c r="AQ7" s="11">
        <v>0.50684931506849318</v>
      </c>
      <c r="AR7" s="11">
        <v>0.64130836872540675</v>
      </c>
      <c r="AS7" s="11">
        <v>0.93597581674201291</v>
      </c>
      <c r="AT7" s="11">
        <v>1.2984002988685597</v>
      </c>
      <c r="AU7" s="11">
        <v>1.7374877290528952</v>
      </c>
      <c r="AV7" s="11">
        <v>2.262534800629723</v>
      </c>
      <c r="AW7" s="11">
        <v>-0.48110439925796755</v>
      </c>
      <c r="AX7" s="11">
        <v>-0.5095975206864769</v>
      </c>
      <c r="AY7" s="11">
        <v>-0.26787206762618437</v>
      </c>
      <c r="AZ7" s="11">
        <v>-7.3630136986301373E-2</v>
      </c>
      <c r="BA7" s="11">
        <v>-1.4882744504979728E-2</v>
      </c>
      <c r="BB7" s="11">
        <v>0.19679474720218906</v>
      </c>
      <c r="BC7" s="11">
        <v>0.46873862963911672</v>
      </c>
      <c r="BD7" s="11">
        <v>0.80881649362232044</v>
      </c>
      <c r="BE7" s="11">
        <v>1.2253431313711185</v>
      </c>
      <c r="BF7" s="5">
        <v>14.609361678963879</v>
      </c>
      <c r="BG7" s="5">
        <v>11.427676894176582</v>
      </c>
      <c r="BH7" s="5">
        <v>9.0549960824484792</v>
      </c>
      <c r="BI7" s="5">
        <v>7.3026422038730656</v>
      </c>
      <c r="BJ7" s="5">
        <v>5.9965511029445864</v>
      </c>
      <c r="BK7" s="5">
        <v>5.0040725650078883</v>
      </c>
      <c r="BL7" s="5">
        <v>4.2375751046372132</v>
      </c>
      <c r="BM7" s="5">
        <v>11.673273835738867</v>
      </c>
      <c r="BN7" s="5">
        <v>9.4041409472286936</v>
      </c>
      <c r="BO7" s="5">
        <v>7.7160345857075132</v>
      </c>
      <c r="BP7" s="5">
        <v>6.435067769613334</v>
      </c>
      <c r="BQ7" s="5">
        <v>5.446830359978482</v>
      </c>
      <c r="BR7" s="5">
        <v>48.728508037574855</v>
      </c>
      <c r="BS7" s="5">
        <v>33.387614766347724</v>
      </c>
      <c r="BT7" s="5">
        <v>24.068078255397502</v>
      </c>
      <c r="BU7" s="5">
        <v>17.985738533551761</v>
      </c>
      <c r="BV7" s="5">
        <v>13.811942247828542</v>
      </c>
      <c r="BW7" s="199" t="s">
        <v>24</v>
      </c>
      <c r="BX7" s="5">
        <v>158.79488880815202</v>
      </c>
      <c r="BY7" s="5">
        <v>66.668283823885972</v>
      </c>
      <c r="BZ7" s="5">
        <v>38.636699729063999</v>
      </c>
      <c r="CA7" s="5">
        <v>25.503060489703223</v>
      </c>
      <c r="CC7" s="12">
        <v>7</v>
      </c>
      <c r="CD7" s="12">
        <v>7</v>
      </c>
      <c r="CE7" s="167">
        <v>7</v>
      </c>
      <c r="CF7" s="12">
        <v>7</v>
      </c>
      <c r="CG7" s="82">
        <v>10</v>
      </c>
      <c r="CH7" s="46"/>
      <c r="CI7" s="46"/>
      <c r="CJ7" s="46"/>
      <c r="CK7" s="46"/>
      <c r="CL7" s="46"/>
      <c r="CM7" s="176">
        <v>23.383739604997853</v>
      </c>
      <c r="CN7" s="176">
        <v>28.846648073144181</v>
      </c>
      <c r="CO7" s="176">
        <v>35.223592790742146</v>
      </c>
      <c r="CP7" s="176">
        <v>42.62240484352975</v>
      </c>
      <c r="CQ7" s="7"/>
      <c r="CR7" s="7"/>
      <c r="CS7" s="7"/>
      <c r="CT7" s="7"/>
      <c r="CU7" s="7"/>
      <c r="CV7" s="7"/>
      <c r="CW7" s="41"/>
      <c r="CX7" s="41"/>
      <c r="CY7" s="41"/>
      <c r="CZ7" s="41"/>
      <c r="DA7" s="19"/>
      <c r="DB7" s="40">
        <v>584.30247041324481</v>
      </c>
      <c r="DC7" s="40">
        <v>580.93536182583227</v>
      </c>
      <c r="DD7" s="40">
        <v>573.9464671306331</v>
      </c>
      <c r="DE7" s="40">
        <v>563.60408488409348</v>
      </c>
      <c r="DF7" s="40">
        <v>550.27414725053643</v>
      </c>
      <c r="DG7" s="40"/>
      <c r="DH7" s="40"/>
      <c r="DI7" s="40"/>
      <c r="DJ7" s="40"/>
      <c r="DK7" s="40"/>
      <c r="DL7" s="7"/>
      <c r="DM7" s="7"/>
      <c r="DN7" s="7"/>
      <c r="DO7" s="7"/>
      <c r="DP7" s="7"/>
      <c r="DQ7" s="7"/>
      <c r="DR7" s="7"/>
      <c r="DS7" s="78">
        <v>-0.3739519055465359</v>
      </c>
      <c r="DT7" s="78">
        <v>-4.8222108094275851E-2</v>
      </c>
      <c r="DU7" s="6">
        <v>4.676045295946718E-2</v>
      </c>
      <c r="DV7" s="6">
        <v>8.9538773736149713E-2</v>
      </c>
      <c r="DW7" s="171">
        <v>0.74827966735993134</v>
      </c>
      <c r="DX7" s="132">
        <v>0.92309273834061378</v>
      </c>
      <c r="DY7" s="132">
        <v>1.1271549693037486</v>
      </c>
      <c r="DZ7" s="132">
        <v>1.363916954992952</v>
      </c>
      <c r="EA7" s="78">
        <v>2.2860849999999999E-2</v>
      </c>
      <c r="EB7" s="6">
        <v>0.16865670000000002</v>
      </c>
      <c r="EC7" s="194">
        <v>-0.1407408</v>
      </c>
      <c r="ED7" s="363">
        <v>0.21293735469285835</v>
      </c>
      <c r="EE7" s="189" t="s">
        <v>24</v>
      </c>
      <c r="EF7" s="365" t="s">
        <v>24</v>
      </c>
      <c r="EG7" s="189" t="s">
        <v>24</v>
      </c>
      <c r="EH7" s="365" t="s">
        <v>24</v>
      </c>
      <c r="EI7" s="189" t="s">
        <v>24</v>
      </c>
      <c r="EJ7" s="194">
        <v>4.676045295946718E-2</v>
      </c>
      <c r="EK7" s="6">
        <v>0.21958811322584948</v>
      </c>
      <c r="EL7" s="235" t="s">
        <v>24</v>
      </c>
    </row>
    <row r="8" spans="2:142" x14ac:dyDescent="0.25">
      <c r="B8" s="38" t="s">
        <v>157</v>
      </c>
      <c r="D8" s="186">
        <v>46119</v>
      </c>
      <c r="E8" s="147"/>
      <c r="F8" s="149">
        <v>91.875</v>
      </c>
      <c r="G8" s="3">
        <v>566.41787999999997</v>
      </c>
      <c r="H8" s="25">
        <v>-250.7</v>
      </c>
      <c r="I8" s="3">
        <v>5366</v>
      </c>
      <c r="J8" s="3"/>
      <c r="K8" s="76">
        <v>5115.3</v>
      </c>
      <c r="L8" s="76">
        <v>57154.942725000001</v>
      </c>
      <c r="M8" s="3">
        <v>8034.25</v>
      </c>
      <c r="N8" s="3">
        <v>7835.4749999999995</v>
      </c>
      <c r="O8" s="3">
        <v>5209.8</v>
      </c>
      <c r="P8" s="3">
        <v>4507.3709127382135</v>
      </c>
      <c r="Q8" s="3">
        <v>5696.8211596085002</v>
      </c>
      <c r="R8" s="3">
        <v>8093.4529086247412</v>
      </c>
      <c r="S8" s="3">
        <v>9312.8625979542485</v>
      </c>
      <c r="T8" s="3">
        <v>10284.115115683908</v>
      </c>
      <c r="U8" s="3">
        <v>11715.819726456848</v>
      </c>
      <c r="V8" s="21">
        <v>0.67843388199604193</v>
      </c>
      <c r="W8" s="21">
        <v>0.65828355862936194</v>
      </c>
      <c r="X8" s="21">
        <v>0.57020174482006547</v>
      </c>
      <c r="Y8" s="21">
        <v>0.5703746964009716</v>
      </c>
      <c r="Z8" s="21">
        <v>0.64826824871255884</v>
      </c>
      <c r="AA8" s="21">
        <v>0.67069848898838991</v>
      </c>
      <c r="AB8" s="21">
        <v>0.66782419602480581</v>
      </c>
      <c r="AC8" s="21">
        <v>0.66558693718998463</v>
      </c>
      <c r="AD8" s="21">
        <v>0.66386262285968389</v>
      </c>
      <c r="AE8" s="144">
        <v>5450.7074164266996</v>
      </c>
      <c r="AF8" s="144">
        <v>5157.9643665513995</v>
      </c>
      <c r="AG8" s="144">
        <v>2970.637050163577</v>
      </c>
      <c r="AH8" s="144">
        <v>2570.8903159196288</v>
      </c>
      <c r="AI8" s="144">
        <v>3693.0682763680511</v>
      </c>
      <c r="AJ8" s="144">
        <v>5428.2666365133036</v>
      </c>
      <c r="AK8" s="144">
        <v>6219.3549771682801</v>
      </c>
      <c r="AL8" s="144">
        <v>6844.9726815572767</v>
      </c>
      <c r="AM8" s="144">
        <v>7777.694812556867</v>
      </c>
      <c r="AN8" s="11">
        <v>5.6675000000000004</v>
      </c>
      <c r="AO8" s="11">
        <v>5.1950000000000003</v>
      </c>
      <c r="AP8" s="11">
        <v>2.2124999999999999</v>
      </c>
      <c r="AQ8" s="11">
        <v>1.3482914155384864</v>
      </c>
      <c r="AR8" s="11">
        <v>2.5475875197837592</v>
      </c>
      <c r="AS8" s="11">
        <v>4.6130732219333401</v>
      </c>
      <c r="AT8" s="11">
        <v>5.6842629854626523</v>
      </c>
      <c r="AU8" s="11">
        <v>6.5062783362985908</v>
      </c>
      <c r="AV8" s="11">
        <v>7.6602041918817854</v>
      </c>
      <c r="AW8" s="11">
        <v>5.3680144488327732</v>
      </c>
      <c r="AX8" s="11">
        <v>4.8992850708952185</v>
      </c>
      <c r="AY8" s="11">
        <v>1.8543936082742483</v>
      </c>
      <c r="AZ8" s="11">
        <v>0.97340059376550214</v>
      </c>
      <c r="BA8" s="11">
        <v>2.1235227995459178</v>
      </c>
      <c r="BB8" s="11">
        <v>4.0999779795132145</v>
      </c>
      <c r="BC8" s="11">
        <v>5.1266802421200151</v>
      </c>
      <c r="BD8" s="11">
        <v>5.9210093199849103</v>
      </c>
      <c r="BE8" s="11">
        <v>7.0466053472198364</v>
      </c>
      <c r="BF8" s="5">
        <v>10.970659665438212</v>
      </c>
      <c r="BG8" s="5">
        <v>12.680328251547985</v>
      </c>
      <c r="BH8" s="5">
        <v>10.032778127254364</v>
      </c>
      <c r="BI8" s="5">
        <v>7.0618737602208279</v>
      </c>
      <c r="BJ8" s="5">
        <v>6.1372045516440021</v>
      </c>
      <c r="BK8" s="5">
        <v>5.5575946089746893</v>
      </c>
      <c r="BL8" s="5">
        <v>4.8784416335744574</v>
      </c>
      <c r="BM8" s="5">
        <v>15.476275673194172</v>
      </c>
      <c r="BN8" s="5">
        <v>10.529133248640839</v>
      </c>
      <c r="BO8" s="5">
        <v>9.1898505447622938</v>
      </c>
      <c r="BP8" s="5">
        <v>8.3499153881205661</v>
      </c>
      <c r="BQ8" s="5">
        <v>7.3485710229623527</v>
      </c>
      <c r="BR8" s="5">
        <v>36.063530413195934</v>
      </c>
      <c r="BS8" s="5">
        <v>19.916224083149316</v>
      </c>
      <c r="BT8" s="5">
        <v>16.163045276928216</v>
      </c>
      <c r="BU8" s="5">
        <v>14.120975963697783</v>
      </c>
      <c r="BV8" s="5">
        <v>11.993805608650522</v>
      </c>
      <c r="BW8" s="8">
        <v>43.265370176221339</v>
      </c>
      <c r="BX8" s="5">
        <v>22.408656938910731</v>
      </c>
      <c r="BY8" s="5">
        <v>17.920953845564455</v>
      </c>
      <c r="BZ8" s="5">
        <v>15.51678016953943</v>
      </c>
      <c r="CA8" s="5">
        <v>13.038192927357327</v>
      </c>
      <c r="CC8" s="12">
        <v>20</v>
      </c>
      <c r="CD8" s="12">
        <v>20</v>
      </c>
      <c r="CE8" s="167">
        <v>20</v>
      </c>
      <c r="CF8" s="12">
        <v>20</v>
      </c>
      <c r="CG8" s="82">
        <v>20</v>
      </c>
      <c r="CH8" s="46"/>
      <c r="CI8" s="46"/>
      <c r="CJ8" s="46"/>
      <c r="CK8" s="46"/>
      <c r="CL8" s="46"/>
      <c r="CM8" s="43">
        <v>81.999559590264283</v>
      </c>
      <c r="CN8" s="43">
        <v>102.53360484240031</v>
      </c>
      <c r="CO8" s="43">
        <v>118.42018639969821</v>
      </c>
      <c r="CP8" s="43">
        <v>140.93210694439674</v>
      </c>
      <c r="CQ8" s="7"/>
      <c r="CR8" s="7"/>
      <c r="CS8" s="7"/>
      <c r="CT8" s="7"/>
      <c r="CU8" s="7"/>
      <c r="CV8" s="7"/>
      <c r="CW8" s="41"/>
      <c r="CX8" s="41"/>
      <c r="CY8" s="41"/>
      <c r="CZ8" s="41"/>
      <c r="DA8" s="19"/>
      <c r="DB8" s="40">
        <v>537.29999999999995</v>
      </c>
      <c r="DC8" s="40">
        <v>537.29999999999995</v>
      </c>
      <c r="DD8" s="40">
        <v>549.08629332487362</v>
      </c>
      <c r="DE8" s="40">
        <v>543.66702968070604</v>
      </c>
      <c r="DF8" s="40">
        <v>531.92173019728568</v>
      </c>
      <c r="DG8" s="40">
        <v>4832.1611542859064</v>
      </c>
      <c r="DH8" s="40">
        <v>4019.5209466971164</v>
      </c>
      <c r="DI8" s="40">
        <v>3717.795707536367</v>
      </c>
      <c r="DJ8" s="40">
        <v>3700</v>
      </c>
      <c r="DK8" s="40">
        <v>3700</v>
      </c>
      <c r="DL8" s="7"/>
      <c r="DM8" s="7"/>
      <c r="DN8" s="7">
        <v>1.9522000000000002</v>
      </c>
      <c r="DO8" s="7">
        <v>2.1474200000000003</v>
      </c>
      <c r="DP8" s="7">
        <v>2.3621620000000005</v>
      </c>
      <c r="DQ8" s="7">
        <v>2.5983782000000009</v>
      </c>
      <c r="DR8" s="7">
        <v>2.8582160200000013</v>
      </c>
      <c r="DS8" s="78">
        <v>-0.14787428522080082</v>
      </c>
      <c r="DT8" s="78">
        <v>9.1638937645966978E-2</v>
      </c>
      <c r="DU8" s="6">
        <v>0.12177221275479555</v>
      </c>
      <c r="DV8" s="6">
        <v>0.14346108373853039</v>
      </c>
      <c r="DW8" s="171">
        <v>0.91376064860151607</v>
      </c>
      <c r="DX8" s="132">
        <v>1.1606337397812279</v>
      </c>
      <c r="DY8" s="132">
        <v>1.3592595199967152</v>
      </c>
      <c r="DZ8" s="132">
        <v>1.6325688940886725</v>
      </c>
      <c r="EA8" s="78">
        <v>0.16842300000000002</v>
      </c>
      <c r="EB8" s="6">
        <v>0.19265160000000001</v>
      </c>
      <c r="EC8" s="194">
        <v>0.81151580000000001</v>
      </c>
      <c r="ED8" s="363">
        <v>0.18387137927704011</v>
      </c>
      <c r="EE8" s="175">
        <v>0.13948445654705166</v>
      </c>
      <c r="EF8" s="363">
        <v>0.32335583582409178</v>
      </c>
      <c r="EG8" s="6">
        <v>1.8603196899030006E-2</v>
      </c>
      <c r="EH8" s="363">
        <v>0.34195903272312178</v>
      </c>
      <c r="EI8" s="6">
        <v>-0.22018681996832623</v>
      </c>
      <c r="EJ8" s="194">
        <v>0.12177221275479555</v>
      </c>
      <c r="EK8" s="6">
        <v>0.22836696271738544</v>
      </c>
      <c r="EL8" s="194">
        <v>0.4074930924848581</v>
      </c>
    </row>
    <row r="9" spans="2:142" x14ac:dyDescent="0.25">
      <c r="B9" s="38" t="s">
        <v>140</v>
      </c>
      <c r="D9" s="186">
        <v>46119</v>
      </c>
      <c r="E9" s="147"/>
      <c r="F9" s="225">
        <v>62.549999237060547</v>
      </c>
      <c r="G9" s="25">
        <v>94.113302000000004</v>
      </c>
      <c r="H9" s="25">
        <v>-429.35199999999998</v>
      </c>
      <c r="I9" s="2"/>
      <c r="J9" s="2"/>
      <c r="K9" s="80">
        <v>-429.35199999999998</v>
      </c>
      <c r="L9" s="80">
        <v>5457.4349682972488</v>
      </c>
      <c r="M9" s="3">
        <v>467.73400000000004</v>
      </c>
      <c r="N9" s="3">
        <v>614.34100000000001</v>
      </c>
      <c r="O9" s="3">
        <v>771.87800000000004</v>
      </c>
      <c r="P9" s="3">
        <v>960.96500000000003</v>
      </c>
      <c r="Q9" s="3">
        <v>1170.439939747514</v>
      </c>
      <c r="R9" s="3">
        <v>1410.8054914574941</v>
      </c>
      <c r="S9" s="3">
        <v>1660.2375838794474</v>
      </c>
      <c r="T9" s="3">
        <v>1947.3317356222967</v>
      </c>
      <c r="U9" s="3">
        <v>2257.7346876447373</v>
      </c>
      <c r="V9" s="135"/>
      <c r="W9" s="135"/>
      <c r="X9" s="135"/>
      <c r="Y9" s="135"/>
      <c r="Z9" s="135"/>
      <c r="AA9" s="135"/>
      <c r="AB9" s="135"/>
      <c r="AC9" s="135"/>
      <c r="AD9" s="135"/>
      <c r="AE9" s="146">
        <v>297.19200000000006</v>
      </c>
      <c r="AF9" s="146">
        <v>417.61900000000003</v>
      </c>
      <c r="AG9" s="146">
        <v>543.25900000000001</v>
      </c>
      <c r="AH9" s="146">
        <v>711.48300000000006</v>
      </c>
      <c r="AI9" s="146">
        <v>879.37455498927886</v>
      </c>
      <c r="AJ9" s="146">
        <v>1078.9008431505194</v>
      </c>
      <c r="AK9" s="146">
        <v>1288.18817168386</v>
      </c>
      <c r="AL9" s="146">
        <v>1530.7204234585897</v>
      </c>
      <c r="AM9" s="146">
        <v>1795.2715058461822</v>
      </c>
      <c r="AN9" s="148">
        <v>-5.203586289454587</v>
      </c>
      <c r="AO9" s="148">
        <v>-2.2611508037768564</v>
      </c>
      <c r="AP9" s="148">
        <v>0.3923978218753516</v>
      </c>
      <c r="AQ9" s="148">
        <v>1.1008490171527545</v>
      </c>
      <c r="AR9" s="148">
        <v>1.7962606313202718</v>
      </c>
      <c r="AS9" s="148">
        <v>2.7051748553728685</v>
      </c>
      <c r="AT9" s="148">
        <v>3.8034995064677122</v>
      </c>
      <c r="AU9" s="11">
        <v>5.1971524834482263</v>
      </c>
      <c r="AV9" s="11">
        <v>6.8610889919926468</v>
      </c>
      <c r="AW9" s="225">
        <v>-7.1522427803023527</v>
      </c>
      <c r="AX9" s="225">
        <v>-5.5200758305072126</v>
      </c>
      <c r="AY9" s="225">
        <v>-3.0958692526077343</v>
      </c>
      <c r="AZ9" s="225">
        <v>-0.94337005035610011</v>
      </c>
      <c r="BA9" s="225">
        <v>-0.49851227448575247</v>
      </c>
      <c r="BB9" s="225">
        <v>0.24276289838453169</v>
      </c>
      <c r="BC9" s="225">
        <v>1.2372220961362883</v>
      </c>
      <c r="BD9" s="227">
        <v>2.4508639132160455</v>
      </c>
      <c r="BE9" s="227">
        <v>3.8433138512021121</v>
      </c>
      <c r="BF9" s="5">
        <v>7.070333612691706</v>
      </c>
      <c r="BG9" s="5">
        <v>5.6791193938356219</v>
      </c>
      <c r="BH9" s="5">
        <v>4.6627210700572306</v>
      </c>
      <c r="BI9" s="5">
        <v>3.8683114017788576</v>
      </c>
      <c r="BJ9" s="5">
        <v>3.2871409618043694</v>
      </c>
      <c r="BK9" s="5">
        <v>2.8025194005032996</v>
      </c>
      <c r="BL9" s="5">
        <v>2.4172171328024508</v>
      </c>
      <c r="BM9" s="5">
        <v>6.2060414840679403</v>
      </c>
      <c r="BN9" s="5">
        <v>5.0583285785196779</v>
      </c>
      <c r="BO9" s="5">
        <v>4.2365200117957471</v>
      </c>
      <c r="BP9" s="5">
        <v>3.5652721977579911</v>
      </c>
      <c r="BQ9" s="5">
        <v>3.0398939383405099</v>
      </c>
      <c r="BR9" s="5">
        <v>34.822340447936888</v>
      </c>
      <c r="BS9" s="5">
        <v>23.122349785570126</v>
      </c>
      <c r="BT9" s="5">
        <v>16.445381189269661</v>
      </c>
      <c r="BU9" s="5">
        <v>12.035436604230561</v>
      </c>
      <c r="BV9" s="5">
        <v>9.1166284696293278</v>
      </c>
      <c r="BW9" s="199" t="s">
        <v>24</v>
      </c>
      <c r="BX9" s="5">
        <v>257.65880887606875</v>
      </c>
      <c r="BY9" s="5">
        <v>50.556807409435599</v>
      </c>
      <c r="BZ9" s="5">
        <v>25.5216125627236</v>
      </c>
      <c r="CA9" s="5">
        <v>16.275017253013608</v>
      </c>
      <c r="CB9" t="s">
        <v>64</v>
      </c>
      <c r="CC9" s="12">
        <v>7</v>
      </c>
      <c r="CD9" s="12">
        <v>7</v>
      </c>
      <c r="CE9" s="167">
        <v>7</v>
      </c>
      <c r="CF9" s="12">
        <v>7</v>
      </c>
      <c r="CG9" s="12">
        <v>8</v>
      </c>
      <c r="CH9" s="46"/>
      <c r="CI9" s="46"/>
      <c r="CJ9" s="46"/>
      <c r="CK9" s="46"/>
      <c r="CL9" s="46"/>
      <c r="CM9" s="19">
        <v>84.532908084312453</v>
      </c>
      <c r="CN9" s="19">
        <v>99.854469574667561</v>
      </c>
      <c r="CO9" s="19">
        <v>118.70166090526678</v>
      </c>
      <c r="CP9" s="19">
        <v>140.8555156121632</v>
      </c>
      <c r="CQ9" s="7"/>
      <c r="CR9" s="7"/>
      <c r="CS9" s="7"/>
      <c r="CT9" s="7"/>
      <c r="CU9" s="7"/>
      <c r="CV9" s="7"/>
      <c r="CW9" s="41">
        <v>7552.3059020536366</v>
      </c>
      <c r="CX9" s="41">
        <v>9017.3172017870202</v>
      </c>
      <c r="CY9" s="41">
        <v>10715.042964210128</v>
      </c>
      <c r="CZ9" s="41">
        <v>12566.900540923276</v>
      </c>
      <c r="DA9" s="19"/>
      <c r="DB9" s="40">
        <v>94.420718308812866</v>
      </c>
      <c r="DC9" s="40">
        <v>94.60437016014734</v>
      </c>
      <c r="DD9" s="40">
        <v>93.885754244873027</v>
      </c>
      <c r="DE9" s="40">
        <v>92.266550475081431</v>
      </c>
      <c r="DF9" s="40">
        <v>89.868676795287769</v>
      </c>
      <c r="DG9" s="40">
        <v>-429.35199999999998</v>
      </c>
      <c r="DH9" s="40">
        <v>-429.35199999999998</v>
      </c>
      <c r="DI9" s="40">
        <v>-429.35199999999998</v>
      </c>
      <c r="DJ9" s="40">
        <v>-429.35199999999998</v>
      </c>
      <c r="DK9" s="40">
        <v>-429.35199999999998</v>
      </c>
      <c r="DL9" s="7"/>
      <c r="DM9" s="7"/>
      <c r="DN9" s="7"/>
      <c r="DO9" s="7"/>
      <c r="DP9" s="7"/>
      <c r="DQ9" s="7"/>
      <c r="DR9" s="7"/>
      <c r="DS9" s="78">
        <v>0.6264674139690305</v>
      </c>
      <c r="DT9" s="78">
        <v>0.33493105938316403</v>
      </c>
      <c r="DU9" s="6">
        <v>0.2771084702900124</v>
      </c>
      <c r="DV9" s="6">
        <v>0.25144182735835807</v>
      </c>
      <c r="DW9" s="171">
        <v>1.3514453895345078</v>
      </c>
      <c r="DX9" s="132">
        <v>1.596394417148199</v>
      </c>
      <c r="DY9" s="132">
        <v>1.8977084309049306</v>
      </c>
      <c r="DZ9" s="132">
        <v>2.2518867678691681</v>
      </c>
      <c r="EA9" s="78">
        <v>-2.73674E-2</v>
      </c>
      <c r="EB9" s="6">
        <v>-6.613919E-2</v>
      </c>
      <c r="EC9" s="194">
        <v>-0.27486670000000002</v>
      </c>
      <c r="ED9" s="363">
        <v>0.18012130225604861</v>
      </c>
      <c r="EE9" s="188"/>
      <c r="EF9" s="188"/>
      <c r="EG9" s="6">
        <v>9.052956325210193E-3</v>
      </c>
      <c r="EH9" s="363">
        <v>0.1891742585812588</v>
      </c>
      <c r="EI9" s="6">
        <v>8.7934211708753596E-2</v>
      </c>
      <c r="EJ9" s="194">
        <v>0.2771084702900124</v>
      </c>
      <c r="EK9" s="6">
        <v>0.20293084383451099</v>
      </c>
      <c r="EL9" s="235" t="s">
        <v>24</v>
      </c>
    </row>
    <row r="10" spans="2:142" x14ac:dyDescent="0.25">
      <c r="B10" s="142" t="s">
        <v>95</v>
      </c>
      <c r="C10" s="290">
        <v>1</v>
      </c>
      <c r="D10" s="186">
        <v>46119</v>
      </c>
      <c r="E10" s="147"/>
      <c r="F10" s="149">
        <v>424.66500854492188</v>
      </c>
      <c r="G10" s="3">
        <v>7460</v>
      </c>
      <c r="H10" s="25">
        <v>-89462</v>
      </c>
      <c r="I10" s="3">
        <v>63127</v>
      </c>
      <c r="J10" s="3"/>
      <c r="K10" s="76">
        <v>-26335</v>
      </c>
      <c r="L10" s="76">
        <v>3141665.9637451172</v>
      </c>
      <c r="M10" s="3">
        <v>204094</v>
      </c>
      <c r="N10" s="3">
        <v>227582</v>
      </c>
      <c r="O10" s="3">
        <v>261803</v>
      </c>
      <c r="P10" s="3">
        <v>305440</v>
      </c>
      <c r="Q10" s="3">
        <v>356800.78109230485</v>
      </c>
      <c r="R10" s="3">
        <v>418430.46359661606</v>
      </c>
      <c r="S10" s="3">
        <v>491728.15016945539</v>
      </c>
      <c r="T10" s="3">
        <v>575920.69279290503</v>
      </c>
      <c r="U10" s="3">
        <v>670017.48518140521</v>
      </c>
      <c r="V10" s="21">
        <v>0.68159769517967206</v>
      </c>
      <c r="W10" s="21">
        <v>0.69748486259897535</v>
      </c>
      <c r="X10" s="21">
        <v>0.69409059483657565</v>
      </c>
      <c r="Y10" s="21">
        <v>0.68589248297537975</v>
      </c>
      <c r="Z10" s="21">
        <v>0.6833924829753798</v>
      </c>
      <c r="AA10" s="21">
        <v>0.68089248297537985</v>
      </c>
      <c r="AB10" s="21">
        <v>0.67839248297537991</v>
      </c>
      <c r="AC10" s="21">
        <v>0.67589248297537996</v>
      </c>
      <c r="AD10" s="21">
        <v>0.67339248297538001</v>
      </c>
      <c r="AE10" s="144">
        <v>139110</v>
      </c>
      <c r="AF10" s="144">
        <v>158735</v>
      </c>
      <c r="AG10" s="144">
        <v>181715</v>
      </c>
      <c r="AH10" s="144">
        <v>209499</v>
      </c>
      <c r="AI10" s="144">
        <v>243834.97171822516</v>
      </c>
      <c r="AJ10" s="144">
        <v>284906.15731083922</v>
      </c>
      <c r="AK10" s="144">
        <v>333584.68074234732</v>
      </c>
      <c r="AL10" s="144">
        <v>389260.46704869758</v>
      </c>
      <c r="AM10" s="144">
        <v>451184.73798322631</v>
      </c>
      <c r="AN10" s="11">
        <v>9.1199413294219607</v>
      </c>
      <c r="AO10" s="11">
        <v>11.056696024915441</v>
      </c>
      <c r="AP10" s="11">
        <v>12.415500970483903</v>
      </c>
      <c r="AQ10" s="11">
        <v>15.949195056247017</v>
      </c>
      <c r="AR10" s="11">
        <v>18.277835794394107</v>
      </c>
      <c r="AS10" s="11">
        <v>21.138180284761525</v>
      </c>
      <c r="AT10" s="11">
        <v>24.860953541246186</v>
      </c>
      <c r="AU10" s="11">
        <v>30.196773819737377</v>
      </c>
      <c r="AV10" s="11">
        <v>36.555022724601947</v>
      </c>
      <c r="AW10" s="145">
        <v>9.1199413294219607</v>
      </c>
      <c r="AX10" s="145">
        <v>11.056696024915441</v>
      </c>
      <c r="AY10" s="145">
        <v>12.415500970483903</v>
      </c>
      <c r="AZ10" s="145">
        <v>15.949195056247017</v>
      </c>
      <c r="BA10" s="145">
        <v>18.277835794394107</v>
      </c>
      <c r="BB10" s="145">
        <v>21.138180284761525</v>
      </c>
      <c r="BC10" s="145">
        <v>24.860953541246186</v>
      </c>
      <c r="BD10" s="145">
        <v>30.196773819737377</v>
      </c>
      <c r="BE10" s="145">
        <v>36.555022724601947</v>
      </c>
      <c r="BF10" s="5">
        <v>12.000114451496421</v>
      </c>
      <c r="BG10" s="5">
        <v>10.285705748248812</v>
      </c>
      <c r="BH10" s="5">
        <v>8.8050983356237769</v>
      </c>
      <c r="BI10" s="5">
        <v>7.5082151924144096</v>
      </c>
      <c r="BJ10" s="5">
        <v>6.3890301229703068</v>
      </c>
      <c r="BK10" s="5">
        <v>5.4550322693038344</v>
      </c>
      <c r="BL10" s="5">
        <v>4.68893130885162</v>
      </c>
      <c r="BM10" s="5">
        <v>12.884394480442351</v>
      </c>
      <c r="BN10" s="5">
        <v>11.027020242028279</v>
      </c>
      <c r="BO10" s="5">
        <v>9.4178963996601013</v>
      </c>
      <c r="BP10" s="5">
        <v>8.0708580235867764</v>
      </c>
      <c r="BQ10" s="5">
        <v>6.9631476848889218</v>
      </c>
      <c r="BR10" s="5">
        <v>23.233878087205955</v>
      </c>
      <c r="BS10" s="5">
        <v>20.089951113297207</v>
      </c>
      <c r="BT10" s="5">
        <v>17.081605813725961</v>
      </c>
      <c r="BU10" s="5">
        <v>14.063257587714554</v>
      </c>
      <c r="BV10" s="5">
        <v>11.617145248253873</v>
      </c>
      <c r="BW10" s="8">
        <v>23.233878087205955</v>
      </c>
      <c r="BX10" s="5">
        <v>20.089951113297207</v>
      </c>
      <c r="BY10" s="5">
        <v>17.081605813725961</v>
      </c>
      <c r="BZ10" s="5">
        <v>14.063257587714554</v>
      </c>
      <c r="CA10" s="5">
        <v>11.617145248253873</v>
      </c>
      <c r="CC10" s="12">
        <v>24</v>
      </c>
      <c r="CD10" s="12">
        <v>24</v>
      </c>
      <c r="CE10" s="167">
        <v>24</v>
      </c>
      <c r="CF10" s="12">
        <v>24</v>
      </c>
      <c r="CG10" s="82">
        <v>24</v>
      </c>
      <c r="CH10" s="46"/>
      <c r="CI10" s="46"/>
      <c r="CJ10" s="46"/>
      <c r="CK10" s="46"/>
      <c r="CL10" s="46"/>
      <c r="CM10" s="43">
        <v>543.48941150750716</v>
      </c>
      <c r="CN10" s="43">
        <v>632.90500458997315</v>
      </c>
      <c r="CO10" s="43">
        <v>761.24215164231339</v>
      </c>
      <c r="CP10" s="43">
        <v>914.51528842552602</v>
      </c>
      <c r="CQ10" s="7"/>
      <c r="CR10" s="7">
        <v>36.173084673230619</v>
      </c>
      <c r="CS10" s="7">
        <v>36.24211960006474</v>
      </c>
      <c r="CT10" s="7">
        <v>36.519579968616263</v>
      </c>
      <c r="CU10" s="7">
        <v>37.194743035079263</v>
      </c>
      <c r="CV10" s="7">
        <v>38.054830581210275</v>
      </c>
      <c r="CW10" s="41"/>
      <c r="CX10" s="41"/>
      <c r="CY10" s="41"/>
      <c r="CZ10" s="41"/>
      <c r="DA10" s="19"/>
      <c r="DB10" s="40">
        <v>7464.1132333347759</v>
      </c>
      <c r="DC10" s="40">
        <v>7449.8953973850275</v>
      </c>
      <c r="DD10" s="40">
        <v>7393.2942337241893</v>
      </c>
      <c r="DE10" s="40">
        <v>7259.0903436369081</v>
      </c>
      <c r="DF10" s="40">
        <v>7095.0256741732437</v>
      </c>
      <c r="DG10" s="40">
        <v>-26335</v>
      </c>
      <c r="DH10" s="40">
        <v>-26335</v>
      </c>
      <c r="DI10" s="40">
        <v>-26335</v>
      </c>
      <c r="DJ10" s="40">
        <v>-26335</v>
      </c>
      <c r="DK10" s="40">
        <v>-26335</v>
      </c>
      <c r="DL10" s="7"/>
      <c r="DM10" s="7"/>
      <c r="DN10" s="7">
        <v>3.8280000000000003</v>
      </c>
      <c r="DO10" s="7">
        <v>4.2108000000000008</v>
      </c>
      <c r="DP10" s="7">
        <v>4.6318800000000016</v>
      </c>
      <c r="DQ10" s="7">
        <v>5.0950680000000022</v>
      </c>
      <c r="DR10" s="7">
        <v>5.6045748000000026</v>
      </c>
      <c r="DS10" s="78">
        <v>0.50001476569382519</v>
      </c>
      <c r="DT10" s="78">
        <v>0.28765427131373489</v>
      </c>
      <c r="DU10" s="6">
        <v>0.25661323813759696</v>
      </c>
      <c r="DV10" s="6">
        <v>0.24214060374500512</v>
      </c>
      <c r="DW10" s="171">
        <v>1.2888215428505474</v>
      </c>
      <c r="DX10" s="132">
        <v>1.5092927170668284</v>
      </c>
      <c r="DY10" s="132">
        <v>1.8224078180918628</v>
      </c>
      <c r="DZ10" s="132">
        <v>2.1953328333311632</v>
      </c>
      <c r="EA10" s="78">
        <v>4.5554330000000002E-3</v>
      </c>
      <c r="EB10" s="6">
        <v>6.5893709999999994E-2</v>
      </c>
      <c r="EC10" s="194">
        <v>-0.1281081</v>
      </c>
      <c r="ED10" s="363">
        <v>0.1717281385586551</v>
      </c>
      <c r="EE10" s="175">
        <v>9.0035847803626723E-4</v>
      </c>
      <c r="EF10" s="363">
        <v>0.17262849703669136</v>
      </c>
      <c r="EG10" s="6">
        <v>5.0861804093051965E-2</v>
      </c>
      <c r="EH10" s="362">
        <v>0.22349030112974333</v>
      </c>
      <c r="EI10" s="363">
        <v>3.3122937007853626E-2</v>
      </c>
      <c r="EJ10" s="194">
        <v>0.25661323813759696</v>
      </c>
      <c r="EK10" s="6">
        <v>0.16873155132457596</v>
      </c>
      <c r="EL10" s="194">
        <v>0.18216634571324763</v>
      </c>
    </row>
    <row r="11" spans="2:142" x14ac:dyDescent="0.25">
      <c r="B11" s="142" t="s">
        <v>23</v>
      </c>
      <c r="C11" s="290">
        <v>1</v>
      </c>
      <c r="D11" s="186">
        <v>46119</v>
      </c>
      <c r="E11" s="147"/>
      <c r="F11" s="149">
        <v>23.245000839233398</v>
      </c>
      <c r="G11" s="25">
        <v>618</v>
      </c>
      <c r="H11" s="25">
        <v>-1770</v>
      </c>
      <c r="I11" s="2">
        <v>0</v>
      </c>
      <c r="J11" s="3"/>
      <c r="K11" s="76">
        <v>-1770</v>
      </c>
      <c r="L11" s="76">
        <v>12595.41051864624</v>
      </c>
      <c r="M11" s="233">
        <v>836.47058823529414</v>
      </c>
      <c r="N11" s="233">
        <v>1243.5294117647059</v>
      </c>
      <c r="O11" s="233">
        <v>1667.0588235294117</v>
      </c>
      <c r="P11" s="233">
        <v>2218.8235294117649</v>
      </c>
      <c r="Q11" s="233">
        <v>2766.5202184429131</v>
      </c>
      <c r="R11" s="233">
        <v>3355.8447437291056</v>
      </c>
      <c r="S11" s="233">
        <v>3937.7107749017882</v>
      </c>
      <c r="T11" s="233">
        <v>4525.3813441566444</v>
      </c>
      <c r="U11" s="233">
        <v>5045.177733992713</v>
      </c>
      <c r="V11" s="90">
        <v>0.85</v>
      </c>
      <c r="W11" s="90">
        <v>0.85</v>
      </c>
      <c r="X11" s="90">
        <v>0.85</v>
      </c>
      <c r="Y11" s="90">
        <v>0.85</v>
      </c>
      <c r="Z11" s="90">
        <v>0.85</v>
      </c>
      <c r="AA11" s="90">
        <v>0.85</v>
      </c>
      <c r="AB11" s="90">
        <v>0.85</v>
      </c>
      <c r="AC11" s="90">
        <v>0.85</v>
      </c>
      <c r="AD11" s="90">
        <v>0.85</v>
      </c>
      <c r="AE11" s="3">
        <v>711</v>
      </c>
      <c r="AF11" s="3">
        <v>1057</v>
      </c>
      <c r="AG11" s="3">
        <v>1417</v>
      </c>
      <c r="AH11" s="3">
        <v>1886</v>
      </c>
      <c r="AI11" s="3">
        <v>2351.542185676476</v>
      </c>
      <c r="AJ11" s="3">
        <v>2852.4680321697397</v>
      </c>
      <c r="AK11" s="3">
        <v>3347.0541586665199</v>
      </c>
      <c r="AL11" s="3">
        <v>3846.574142533148</v>
      </c>
      <c r="AM11" s="3">
        <v>4288.4010738938059</v>
      </c>
      <c r="AN11" s="11"/>
      <c r="AO11" s="11"/>
      <c r="AP11" s="11"/>
      <c r="AQ11" s="11">
        <v>1.001095324982026</v>
      </c>
      <c r="AR11" s="11">
        <v>1.2767032700718386</v>
      </c>
      <c r="AS11" s="11">
        <v>1.5569277900596412</v>
      </c>
      <c r="AT11" s="11">
        <v>2.0688851193213758</v>
      </c>
      <c r="AU11" s="11">
        <v>2.6263593359554345</v>
      </c>
      <c r="AV11" s="11">
        <v>3.0576893207543643</v>
      </c>
      <c r="AW11" s="11"/>
      <c r="AX11" s="11"/>
      <c r="AY11" s="11"/>
      <c r="AZ11" s="11">
        <v>0.50670326481290906</v>
      </c>
      <c r="BA11" s="11">
        <v>0.76067461530419445</v>
      </c>
      <c r="BB11" s="11">
        <v>1.0093957872932604</v>
      </c>
      <c r="BC11" s="11">
        <v>1.474515646936406</v>
      </c>
      <c r="BD11" s="11">
        <v>2.0073511841619149</v>
      </c>
      <c r="BE11" s="11">
        <v>2.5692709064655026</v>
      </c>
      <c r="BF11" s="5"/>
      <c r="BG11" s="5"/>
      <c r="BH11" s="5"/>
      <c r="BI11" s="5"/>
      <c r="BJ11" s="5"/>
      <c r="BK11" s="5"/>
      <c r="BL11" s="5"/>
      <c r="BM11" s="5">
        <v>5.3562341323776321</v>
      </c>
      <c r="BN11" s="5">
        <v>4.4156184667442169</v>
      </c>
      <c r="BO11" s="5">
        <v>3.7631331677239137</v>
      </c>
      <c r="BP11" s="5">
        <v>3.2744489127022458</v>
      </c>
      <c r="BQ11" s="5">
        <v>2.9370878100284101</v>
      </c>
      <c r="BR11" s="234"/>
      <c r="BS11" s="5">
        <v>14.930044275427155</v>
      </c>
      <c r="BT11" s="5">
        <v>11.235520339987797</v>
      </c>
      <c r="BU11" s="5">
        <v>8.8506551715921908</v>
      </c>
      <c r="BV11" s="5">
        <v>7.6021460654801292</v>
      </c>
      <c r="BW11" s="8">
        <v>30.558402201889834</v>
      </c>
      <c r="BX11" s="5">
        <v>23.028628741918865</v>
      </c>
      <c r="BY11" s="5">
        <v>15.764499269661481</v>
      </c>
      <c r="BZ11" s="5">
        <v>11.579937293801619</v>
      </c>
      <c r="CA11" s="5">
        <v>9.0473140768215465</v>
      </c>
      <c r="CB11" t="s">
        <v>62</v>
      </c>
      <c r="CC11" s="12">
        <v>25</v>
      </c>
      <c r="CD11" s="12">
        <v>25</v>
      </c>
      <c r="CE11" s="168">
        <v>25</v>
      </c>
      <c r="CF11" s="12">
        <v>25</v>
      </c>
      <c r="CG11" s="12">
        <v>25</v>
      </c>
      <c r="CH11" s="46">
        <v>48.482081600948639</v>
      </c>
      <c r="CI11" s="46">
        <v>56.855635514001193</v>
      </c>
      <c r="CJ11" s="46">
        <v>65.781378419703287</v>
      </c>
      <c r="CK11" s="46">
        <v>75.385267383300743</v>
      </c>
      <c r="CL11" s="46">
        <v>84.899722401886109</v>
      </c>
      <c r="CM11" s="381">
        <v>25.234894682331511</v>
      </c>
      <c r="CN11" s="381">
        <v>36.862891173410148</v>
      </c>
      <c r="CO11" s="381">
        <v>50.183779604047871</v>
      </c>
      <c r="CP11" s="381">
        <v>64.231772661637564</v>
      </c>
      <c r="CQ11" s="7"/>
      <c r="CR11" s="7"/>
      <c r="CS11" s="7"/>
      <c r="CT11" s="7"/>
      <c r="CU11" s="7"/>
      <c r="CV11" s="7"/>
      <c r="CW11" s="41">
        <v>71311.70080424349</v>
      </c>
      <c r="CX11" s="41">
        <v>83676.353966662995</v>
      </c>
      <c r="CY11" s="41">
        <v>96164.353563328696</v>
      </c>
      <c r="CZ11" s="41">
        <v>107210.02684734514</v>
      </c>
      <c r="DA11" s="19"/>
      <c r="DB11" s="42">
        <v>609.22541454590282</v>
      </c>
      <c r="DC11" s="42">
        <v>594.75401436623861</v>
      </c>
      <c r="DD11" s="42">
        <v>577.90502414188097</v>
      </c>
      <c r="DE11" s="42">
        <v>559.47181168493535</v>
      </c>
      <c r="DF11" s="40">
        <v>540.0111738138753</v>
      </c>
      <c r="DG11" s="40">
        <v>-1991</v>
      </c>
      <c r="DH11" s="40">
        <v>-1991</v>
      </c>
      <c r="DI11" s="40">
        <v>-1991</v>
      </c>
      <c r="DJ11" s="40">
        <v>-1991</v>
      </c>
      <c r="DK11" s="40"/>
      <c r="DL11" s="7"/>
      <c r="DM11" s="7"/>
      <c r="DN11" s="7"/>
      <c r="DO11" s="7"/>
      <c r="DP11" s="7"/>
      <c r="DQ11" s="7"/>
      <c r="DR11" s="7"/>
      <c r="DS11" s="78">
        <v>0.14185707177036266</v>
      </c>
      <c r="DT11" s="78">
        <v>0.32947424229517064</v>
      </c>
      <c r="DU11" s="6">
        <v>0.34156026158316588</v>
      </c>
      <c r="DV11" s="6">
        <v>0.32424094933172443</v>
      </c>
      <c r="DW11" s="171">
        <v>1.0856052385999284</v>
      </c>
      <c r="DX11" s="132">
        <v>1.5858416796093286</v>
      </c>
      <c r="DY11" s="132">
        <v>2.1589063365120054</v>
      </c>
      <c r="DZ11" s="132">
        <v>2.7632510364648315</v>
      </c>
      <c r="EA11" s="78">
        <v>-0.20065339999999998</v>
      </c>
      <c r="EB11" s="6">
        <v>-0.1590087</v>
      </c>
      <c r="EC11" s="194">
        <v>-0.2945372</v>
      </c>
      <c r="ED11" s="363">
        <v>0.17129200548948176</v>
      </c>
      <c r="EE11" s="384">
        <v>0.17485787111838769</v>
      </c>
      <c r="EF11" s="385">
        <v>0.34614987660786944</v>
      </c>
      <c r="EG11" s="6">
        <v>3.88202625787335E-2</v>
      </c>
      <c r="EH11" s="363">
        <v>0.38497013918660294</v>
      </c>
      <c r="EI11" s="6">
        <v>-4.3409877603437064E-2</v>
      </c>
      <c r="EJ11" s="194">
        <v>0.34156026158316588</v>
      </c>
      <c r="EK11" s="6">
        <v>0.1782581285576279</v>
      </c>
      <c r="EL11" s="194">
        <v>0.38189425609522432</v>
      </c>
    </row>
    <row r="12" spans="2:142" x14ac:dyDescent="0.25">
      <c r="B12" s="38" t="s">
        <v>161</v>
      </c>
      <c r="D12" s="186">
        <v>46139</v>
      </c>
      <c r="E12" s="147"/>
      <c r="F12" s="225">
        <v>127.08499908447266</v>
      </c>
      <c r="G12" s="25">
        <v>28.074000000000002</v>
      </c>
      <c r="H12" s="25">
        <v>-222.566</v>
      </c>
      <c r="I12" s="2">
        <v>1209.0940000000001</v>
      </c>
      <c r="J12" s="2"/>
      <c r="K12" s="80">
        <v>986.52800000000002</v>
      </c>
      <c r="L12" s="184">
        <v>4554.3122642974859</v>
      </c>
      <c r="M12" s="3">
        <v>357.52100000000002</v>
      </c>
      <c r="N12" s="3">
        <v>460.05500000000006</v>
      </c>
      <c r="O12" s="3">
        <v>625.80700000000002</v>
      </c>
      <c r="P12" s="3">
        <v>696.85299999999995</v>
      </c>
      <c r="Q12" s="3">
        <v>778.76669208069336</v>
      </c>
      <c r="R12" s="3">
        <v>919.23366151583843</v>
      </c>
      <c r="S12" s="3">
        <v>1078.8701356962054</v>
      </c>
      <c r="T12" s="3">
        <v>1258.6672035847216</v>
      </c>
      <c r="U12" s="3">
        <v>1459.653561009432</v>
      </c>
      <c r="V12" s="4"/>
      <c r="W12" s="4"/>
      <c r="X12" s="4"/>
      <c r="Y12" s="4"/>
      <c r="Z12" s="4"/>
      <c r="AA12" s="4"/>
      <c r="AB12" s="4"/>
      <c r="AC12" s="4"/>
      <c r="AD12" s="4"/>
      <c r="AE12" s="146"/>
      <c r="AF12" s="146"/>
      <c r="AG12" s="146"/>
      <c r="AH12" s="146"/>
      <c r="AI12" s="146"/>
      <c r="AJ12" s="146"/>
      <c r="AK12" s="146"/>
      <c r="AL12" s="146"/>
      <c r="AM12" s="146"/>
      <c r="AN12" s="148">
        <v>1.8477140585455221</v>
      </c>
      <c r="AO12" s="148">
        <v>2.4811677698590002</v>
      </c>
      <c r="AP12" s="148">
        <v>3.7247811463065239</v>
      </c>
      <c r="AQ12" s="148">
        <v>4.1483008103322749</v>
      </c>
      <c r="AR12" s="148">
        <v>4.6123604320837819</v>
      </c>
      <c r="AS12" s="148">
        <v>5.9750369566690855</v>
      </c>
      <c r="AT12" s="148">
        <v>7.6104082910456876</v>
      </c>
      <c r="AU12" s="11">
        <v>9.5565600082998365</v>
      </c>
      <c r="AV12" s="11">
        <v>11.856499301466721</v>
      </c>
      <c r="AW12" s="148">
        <v>1.8477140585455221</v>
      </c>
      <c r="AX12" s="148">
        <v>2.4811677698590002</v>
      </c>
      <c r="AY12" s="148">
        <v>3.7247811463065239</v>
      </c>
      <c r="AZ12" s="148">
        <v>4.1483008103322749</v>
      </c>
      <c r="BA12" s="148">
        <v>4.6123604320837819</v>
      </c>
      <c r="BB12" s="148">
        <v>5.9750369566690855</v>
      </c>
      <c r="BC12" s="148">
        <v>7.6104082910456876</v>
      </c>
      <c r="BD12" s="148">
        <v>9.5565600082998365</v>
      </c>
      <c r="BE12" s="148">
        <v>11.856499301466721</v>
      </c>
      <c r="BF12" s="5">
        <v>7.2775029111171428</v>
      </c>
      <c r="BG12" s="5">
        <v>6.5355423084890019</v>
      </c>
      <c r="BH12" s="5">
        <v>5.8481086962378486</v>
      </c>
      <c r="BI12" s="5">
        <v>4.9544663723337932</v>
      </c>
      <c r="BJ12" s="5">
        <v>4.2213720758509492</v>
      </c>
      <c r="BK12" s="5">
        <v>3.6183609546087077</v>
      </c>
      <c r="BL12" s="5">
        <v>3.1201323286245568</v>
      </c>
      <c r="BM12" s="229" t="s">
        <v>24</v>
      </c>
      <c r="BN12" s="229" t="s">
        <v>24</v>
      </c>
      <c r="BO12" s="5" t="e">
        <v>#DIV/0!</v>
      </c>
      <c r="BP12" s="5" t="e">
        <v>#DIV/0!</v>
      </c>
      <c r="BQ12" s="5" t="e">
        <v>#DIV/0!</v>
      </c>
      <c r="BR12" s="5">
        <v>27.553137044638536</v>
      </c>
      <c r="BS12" s="5">
        <v>21.269324358341535</v>
      </c>
      <c r="BT12" s="5">
        <v>16.698841142859482</v>
      </c>
      <c r="BU12" s="5">
        <v>13.298195059111208</v>
      </c>
      <c r="BV12" s="5">
        <v>10.718593731013966</v>
      </c>
      <c r="BW12" s="8">
        <v>27.553137044638536</v>
      </c>
      <c r="BX12" s="5">
        <v>21.269324358341535</v>
      </c>
      <c r="BY12" s="5">
        <v>16.698841142859482</v>
      </c>
      <c r="BZ12" s="5">
        <v>13.298195059111208</v>
      </c>
      <c r="CA12" s="5">
        <v>10.718593731013966</v>
      </c>
      <c r="CC12" s="12">
        <v>24</v>
      </c>
      <c r="CD12" s="12">
        <v>24</v>
      </c>
      <c r="CE12" s="167">
        <v>24</v>
      </c>
      <c r="CF12" s="12">
        <v>24</v>
      </c>
      <c r="CG12" s="12">
        <v>24</v>
      </c>
      <c r="CH12" s="46"/>
      <c r="CI12" s="46"/>
      <c r="CJ12" s="46"/>
      <c r="CK12" s="46"/>
      <c r="CL12" s="46"/>
      <c r="CM12" s="136">
        <v>143.40088696005805</v>
      </c>
      <c r="CN12" s="136">
        <v>182.64979898509651</v>
      </c>
      <c r="CO12" s="136">
        <v>229.35744019919608</v>
      </c>
      <c r="CP12" s="136">
        <v>284.55598323520132</v>
      </c>
      <c r="CQ12" s="7"/>
      <c r="CR12" s="7"/>
      <c r="CS12" s="7"/>
      <c r="CT12" s="7"/>
      <c r="CU12" s="7"/>
      <c r="CV12" s="7"/>
      <c r="CW12" s="137"/>
      <c r="CX12" s="137"/>
      <c r="CY12" s="137"/>
      <c r="CZ12" s="137"/>
      <c r="DA12" s="101"/>
      <c r="DB12" s="185">
        <v>27.75106533682029</v>
      </c>
      <c r="DC12" s="185">
        <v>27.356286528818128</v>
      </c>
      <c r="DD12" s="185">
        <v>26.895951367608468</v>
      </c>
      <c r="DE12" s="185">
        <v>26.377227054251701</v>
      </c>
      <c r="DF12" s="185">
        <v>25.807803403713155</v>
      </c>
      <c r="DG12" s="40"/>
      <c r="DH12" s="40"/>
      <c r="DI12" s="40"/>
      <c r="DJ12" s="40"/>
      <c r="DK12" s="40"/>
      <c r="DL12" s="7"/>
      <c r="DM12" s="7"/>
      <c r="DN12" s="7">
        <v>1.3109999999999999</v>
      </c>
      <c r="DO12" s="7">
        <v>1.5076499999999997</v>
      </c>
      <c r="DP12" s="7">
        <v>1.7337974999999994</v>
      </c>
      <c r="DQ12" s="7">
        <v>1.9938671249999993</v>
      </c>
      <c r="DR12" s="7">
        <v>2.292947193749999</v>
      </c>
      <c r="DS12" s="78">
        <v>0.22653648978399921</v>
      </c>
      <c r="DT12" s="78">
        <v>0.26087348906053243</v>
      </c>
      <c r="DU12" s="6">
        <v>0.26126120073295933</v>
      </c>
      <c r="DV12" s="6">
        <v>0.2567551508266559</v>
      </c>
      <c r="DW12" s="172">
        <v>1.1387015619669549</v>
      </c>
      <c r="DX12" s="138">
        <v>1.4594047316459178</v>
      </c>
      <c r="DY12" s="138">
        <v>1.8405782695384652</v>
      </c>
      <c r="DZ12" s="138">
        <v>2.2906110080443667</v>
      </c>
      <c r="EA12" s="78">
        <v>-0.35272989999999999</v>
      </c>
      <c r="EB12" s="6">
        <v>-0.51119270000000006</v>
      </c>
      <c r="EC12" s="194">
        <v>-0.45179450000000004</v>
      </c>
      <c r="ED12" s="363">
        <v>0.17109202622435671</v>
      </c>
      <c r="EE12" s="175">
        <v>7.555817996775005E-2</v>
      </c>
      <c r="EF12" s="363">
        <v>0.24665020619210676</v>
      </c>
      <c r="EG12" s="6">
        <v>3.4088043681678504E-2</v>
      </c>
      <c r="EH12" s="363">
        <v>0.28073824987378526</v>
      </c>
      <c r="EI12" s="6">
        <v>-1.9477049140825931E-2</v>
      </c>
      <c r="EJ12" s="194">
        <v>0.26126120073295933</v>
      </c>
      <c r="EK12" s="6">
        <v>0</v>
      </c>
      <c r="EL12" s="194">
        <v>0.27485106508096546</v>
      </c>
    </row>
    <row r="13" spans="2:142" x14ac:dyDescent="0.25">
      <c r="B13" s="38" t="s">
        <v>76</v>
      </c>
      <c r="D13" s="186">
        <v>46054</v>
      </c>
      <c r="F13" s="149">
        <v>141.17999267578125</v>
      </c>
      <c r="G13" s="25">
        <v>86.451736999999994</v>
      </c>
      <c r="H13" s="25">
        <v>-1410.4560000000001</v>
      </c>
      <c r="I13" s="2">
        <v>704.5</v>
      </c>
      <c r="K13" s="80">
        <v>-705.95600000000013</v>
      </c>
      <c r="L13" s="81">
        <v>11499.299596468565</v>
      </c>
      <c r="M13" s="3">
        <v>612.74900000000002</v>
      </c>
      <c r="N13" s="3">
        <v>752.47399999999993</v>
      </c>
      <c r="O13" s="3">
        <v>971.54299999999989</v>
      </c>
      <c r="P13" s="3">
        <v>1188.6633999999999</v>
      </c>
      <c r="Q13" s="3">
        <v>1394.7843379999999</v>
      </c>
      <c r="R13" s="3">
        <v>1657.59234956</v>
      </c>
      <c r="S13" s="3">
        <v>1941.5146442471751</v>
      </c>
      <c r="T13" s="3">
        <v>2243.9025321750023</v>
      </c>
      <c r="U13" s="3">
        <v>2585.5299222196718</v>
      </c>
      <c r="V13" s="21">
        <v>0.69387302141659957</v>
      </c>
      <c r="W13" s="21">
        <v>0.74583640099192794</v>
      </c>
      <c r="X13" s="21">
        <v>0.78985644485112849</v>
      </c>
      <c r="Y13" s="21">
        <v>0.80051716440499476</v>
      </c>
      <c r="Z13" s="21">
        <v>0.8015486845560279</v>
      </c>
      <c r="AA13" s="21">
        <v>0.80545120605167109</v>
      </c>
      <c r="AB13" s="21">
        <v>0.80912614681127659</v>
      </c>
      <c r="AC13" s="21">
        <v>0.81402539575870303</v>
      </c>
      <c r="AD13" s="21">
        <v>0.82065591358786527</v>
      </c>
      <c r="AE13" s="236">
        <v>425.16999999999996</v>
      </c>
      <c r="AF13" s="236">
        <v>561.22249999999997</v>
      </c>
      <c r="AG13" s="236">
        <v>767.37949999999989</v>
      </c>
      <c r="AH13" s="236">
        <v>951.54545439999993</v>
      </c>
      <c r="AI13" s="236">
        <v>1117.9875513632501</v>
      </c>
      <c r="AJ13" s="236">
        <v>1335.1097570951251</v>
      </c>
      <c r="AK13" s="236">
        <v>1570.9302630773832</v>
      </c>
      <c r="AL13" s="236">
        <v>1826.5936467977122</v>
      </c>
      <c r="AM13" s="236">
        <v>2121.830420427947</v>
      </c>
      <c r="AN13" s="11">
        <v>-7.7699242166049065E-2</v>
      </c>
      <c r="AO13" s="11">
        <v>0.83215138099939279</v>
      </c>
      <c r="AP13" s="11">
        <v>1.9816447712180301</v>
      </c>
      <c r="AQ13" s="11">
        <v>2.6954669862958989</v>
      </c>
      <c r="AR13" s="11">
        <v>3.2782003160065774</v>
      </c>
      <c r="AS13" s="11">
        <v>4.4782619898077254</v>
      </c>
      <c r="AT13" s="11">
        <v>6.0385589023121859</v>
      </c>
      <c r="AU13" s="11">
        <v>8.1300409651683001</v>
      </c>
      <c r="AV13" s="11">
        <v>10.871193975085561</v>
      </c>
      <c r="AW13" s="11">
        <v>-0.97359042371200832</v>
      </c>
      <c r="AX13" s="11">
        <v>-0.22880869176027729</v>
      </c>
      <c r="AY13" s="11">
        <v>0.43081055984367345</v>
      </c>
      <c r="AZ13" s="11">
        <v>1.1166603050811792</v>
      </c>
      <c r="BA13" s="11">
        <v>1.6426499281795595</v>
      </c>
      <c r="BB13" s="11">
        <v>2.7167351470236065</v>
      </c>
      <c r="BC13" s="11">
        <v>4.1543467249529211</v>
      </c>
      <c r="BD13" s="11">
        <v>6.1252537387228525</v>
      </c>
      <c r="BE13" s="11">
        <v>8.6079472903731347</v>
      </c>
      <c r="BF13" s="5">
        <v>11.836120065162907</v>
      </c>
      <c r="BG13" s="5">
        <v>9.6741429040959499</v>
      </c>
      <c r="BH13" s="5">
        <v>8.2445000873450915</v>
      </c>
      <c r="BI13" s="5">
        <v>6.9373507904527907</v>
      </c>
      <c r="BJ13" s="5">
        <v>5.9228497866558376</v>
      </c>
      <c r="BK13" s="5">
        <v>5.1246876509036055</v>
      </c>
      <c r="BL13" s="5">
        <v>4.4475600524462084</v>
      </c>
      <c r="BM13" s="5">
        <v>9.257142106995655</v>
      </c>
      <c r="BN13" s="5">
        <v>7.7516995002264286</v>
      </c>
      <c r="BO13" s="5">
        <v>6.5880516023338611</v>
      </c>
      <c r="BP13" s="5">
        <v>5.6659397972645307</v>
      </c>
      <c r="BQ13" s="5">
        <v>4.8775668107983714</v>
      </c>
      <c r="BR13" s="5">
        <v>43.066310495559719</v>
      </c>
      <c r="BS13" s="5">
        <v>31.525621546282697</v>
      </c>
      <c r="BT13" s="5">
        <v>23.379749201704882</v>
      </c>
      <c r="BU13" s="5">
        <v>17.36522525294049</v>
      </c>
      <c r="BV13" s="5">
        <v>12.986613337903403</v>
      </c>
      <c r="BW13" s="199" t="s">
        <v>24</v>
      </c>
      <c r="BX13" s="5">
        <v>51.966785511077461</v>
      </c>
      <c r="BY13" s="5">
        <v>33.983680713934909</v>
      </c>
      <c r="BZ13" s="5">
        <v>23.048839884503792</v>
      </c>
      <c r="CA13" s="5">
        <v>16.401121883456774</v>
      </c>
      <c r="CB13" t="s">
        <v>91</v>
      </c>
      <c r="CC13" s="12">
        <v>8.5</v>
      </c>
      <c r="CD13" s="12">
        <v>8.5</v>
      </c>
      <c r="CE13" s="167">
        <v>8.5</v>
      </c>
      <c r="CF13" s="12">
        <v>8.5</v>
      </c>
      <c r="CG13" s="82">
        <v>8.5</v>
      </c>
      <c r="CH13" s="46"/>
      <c r="CI13" s="46"/>
      <c r="CJ13" s="46"/>
      <c r="CK13" s="46"/>
      <c r="CL13" s="46"/>
      <c r="CM13" s="150">
        <v>140.37143296678997</v>
      </c>
      <c r="CN13" s="150">
        <v>166.39691050842487</v>
      </c>
      <c r="CO13" s="150">
        <v>196.51476612841853</v>
      </c>
      <c r="CP13" s="150">
        <v>233.87843513530842</v>
      </c>
      <c r="CQ13" s="7"/>
      <c r="CR13" s="7"/>
      <c r="CS13" s="7"/>
      <c r="CT13" s="7"/>
      <c r="CU13" s="7"/>
      <c r="CV13" s="7"/>
      <c r="CW13" s="41">
        <v>11348.432935308563</v>
      </c>
      <c r="CX13" s="41">
        <v>13352.907236157756</v>
      </c>
      <c r="CY13" s="41">
        <v>15526.045997780553</v>
      </c>
      <c r="CZ13" s="41">
        <v>18035.558573637551</v>
      </c>
      <c r="DA13" s="19"/>
      <c r="DB13" s="40">
        <v>85.874943929371113</v>
      </c>
      <c r="DC13" s="40">
        <v>84.489929489682083</v>
      </c>
      <c r="DD13" s="40">
        <v>82.599401142066142</v>
      </c>
      <c r="DE13" s="40">
        <v>80.133572651941179</v>
      </c>
      <c r="DF13" s="40"/>
      <c r="DG13" s="40">
        <v>-705.95600000000013</v>
      </c>
      <c r="DH13" s="40">
        <v>-705.95600000000013</v>
      </c>
      <c r="DI13" s="40">
        <v>-705.95600000000013</v>
      </c>
      <c r="DJ13" s="40">
        <v>-705.95600000000013</v>
      </c>
      <c r="DK13" s="40"/>
      <c r="DL13" s="7"/>
      <c r="DM13" s="7"/>
      <c r="DN13" s="7"/>
      <c r="DO13" s="7"/>
      <c r="DP13" s="7"/>
      <c r="DQ13" s="7"/>
      <c r="DR13" s="7"/>
      <c r="DS13" s="78">
        <v>-9.2333061753072654E-3</v>
      </c>
      <c r="DT13" s="78">
        <v>0.10682565707969971</v>
      </c>
      <c r="DU13" s="6">
        <v>0.13457908205234315</v>
      </c>
      <c r="DV13" s="6">
        <v>0.14966402467239526</v>
      </c>
      <c r="DW13" s="171">
        <v>0.994272844943064</v>
      </c>
      <c r="DX13" s="132">
        <v>1.178615378529974</v>
      </c>
      <c r="DY13" s="132">
        <v>1.3919448670018928</v>
      </c>
      <c r="DZ13" s="132">
        <v>1.656597586546193</v>
      </c>
      <c r="EA13" s="78">
        <v>5.8421160000000005E-3</v>
      </c>
      <c r="EB13" s="6">
        <v>9.577774E-2</v>
      </c>
      <c r="EC13" s="194">
        <v>-0.34021869999999999</v>
      </c>
      <c r="ED13" s="363">
        <v>0.1677500020375795</v>
      </c>
      <c r="EE13" s="188"/>
      <c r="EF13" s="188"/>
      <c r="EG13" s="188"/>
      <c r="EH13" s="188"/>
      <c r="EI13" s="188"/>
      <c r="EJ13" s="194">
        <v>0.13457908205234315</v>
      </c>
      <c r="EK13" s="6">
        <v>0.1777912539227946</v>
      </c>
      <c r="EL13" s="235">
        <v>0.55069488732657157</v>
      </c>
    </row>
    <row r="14" spans="2:142" x14ac:dyDescent="0.25">
      <c r="B14" s="38" t="s">
        <v>233</v>
      </c>
      <c r="C14" s="307"/>
      <c r="D14" s="186">
        <v>46139</v>
      </c>
      <c r="E14" s="147"/>
      <c r="F14" s="225">
        <v>605.70001220703125</v>
      </c>
      <c r="G14" s="25">
        <v>2573.7760749255003</v>
      </c>
      <c r="H14" s="25">
        <v>-84819</v>
      </c>
      <c r="I14" s="2">
        <v>85081</v>
      </c>
      <c r="J14" s="2"/>
      <c r="K14" s="80">
        <v>262</v>
      </c>
      <c r="L14" s="184">
        <v>1559198.2000005406</v>
      </c>
      <c r="M14" s="3">
        <v>116608</v>
      </c>
      <c r="N14" s="3">
        <v>134902</v>
      </c>
      <c r="O14" s="3">
        <v>164500</v>
      </c>
      <c r="P14" s="3">
        <v>200965</v>
      </c>
      <c r="Q14" s="3">
        <v>252369.84377042708</v>
      </c>
      <c r="R14" s="3">
        <v>301648.92861704779</v>
      </c>
      <c r="S14" s="3">
        <v>347539.2667893318</v>
      </c>
      <c r="T14" s="3">
        <v>394733.55868165876</v>
      </c>
      <c r="U14" s="3">
        <v>453608.3665355402</v>
      </c>
      <c r="V14" s="4"/>
      <c r="W14" s="4"/>
      <c r="X14" s="4"/>
      <c r="Y14" s="4"/>
      <c r="Z14" s="4"/>
      <c r="AA14" s="4"/>
      <c r="AB14" s="4"/>
      <c r="AC14" s="4"/>
      <c r="AD14" s="4"/>
      <c r="AE14" s="236">
        <v>0</v>
      </c>
      <c r="AF14" s="236">
        <v>0</v>
      </c>
      <c r="AG14" s="236">
        <v>0</v>
      </c>
      <c r="AH14" s="236">
        <v>0</v>
      </c>
      <c r="AI14" s="236">
        <v>0</v>
      </c>
      <c r="AJ14" s="236">
        <v>0</v>
      </c>
      <c r="AK14" s="236">
        <v>0</v>
      </c>
      <c r="AL14" s="236">
        <v>0</v>
      </c>
      <c r="AM14" s="236">
        <v>0</v>
      </c>
      <c r="AN14" s="148">
        <v>10.44078460399704</v>
      </c>
      <c r="AO14" s="148">
        <v>16.379134994117344</v>
      </c>
      <c r="AP14" s="148">
        <v>24.207033675432967</v>
      </c>
      <c r="AQ14" s="148">
        <v>29.015803172450298</v>
      </c>
      <c r="AR14" s="148">
        <v>30.163708783659182</v>
      </c>
      <c r="AS14" s="148">
        <v>38.029610233240099</v>
      </c>
      <c r="AT14" s="148">
        <v>46.790913001974651</v>
      </c>
      <c r="AU14" s="11">
        <v>58.401462971122228</v>
      </c>
      <c r="AV14" s="11">
        <v>75.389147758855344</v>
      </c>
      <c r="AW14" s="148">
        <v>10.44078460399704</v>
      </c>
      <c r="AX14" s="148">
        <v>16.379134994117344</v>
      </c>
      <c r="AY14" s="148">
        <v>24.207033675432967</v>
      </c>
      <c r="AZ14" s="148">
        <v>29.015803172450298</v>
      </c>
      <c r="BA14" s="148">
        <v>30.163708783659182</v>
      </c>
      <c r="BB14" s="148">
        <v>38.029610233240099</v>
      </c>
      <c r="BC14" s="148">
        <v>46.790913001974651</v>
      </c>
      <c r="BD14" s="11">
        <v>58.401462971122228</v>
      </c>
      <c r="BE14" s="11">
        <v>75.389147758855344</v>
      </c>
      <c r="BF14" s="5">
        <v>9.4784085106415841</v>
      </c>
      <c r="BG14" s="5">
        <v>7.75855596745971</v>
      </c>
      <c r="BH14" s="5">
        <v>6.1782270682819549</v>
      </c>
      <c r="BI14" s="5">
        <v>5.1689167508364955</v>
      </c>
      <c r="BJ14" s="5">
        <v>4.4863943415800582</v>
      </c>
      <c r="BK14" s="5">
        <v>3.9500016294737916</v>
      </c>
      <c r="BL14" s="5">
        <v>3.4373224019411412</v>
      </c>
      <c r="BM14" s="229" t="s">
        <v>24</v>
      </c>
      <c r="BN14" s="229" t="s">
        <v>24</v>
      </c>
      <c r="BO14" s="5" t="e">
        <v>#DIV/0!</v>
      </c>
      <c r="BP14" s="5" t="e">
        <v>#DIV/0!</v>
      </c>
      <c r="BQ14" s="5" t="e">
        <v>#DIV/0!</v>
      </c>
      <c r="BR14" s="5">
        <v>20.080422356257522</v>
      </c>
      <c r="BS14" s="5">
        <v>15.92706337225655</v>
      </c>
      <c r="BT14" s="5">
        <v>12.944821405418393</v>
      </c>
      <c r="BU14" s="5">
        <v>10.371315740952101</v>
      </c>
      <c r="BV14" s="5">
        <v>8.0343130306295922</v>
      </c>
      <c r="BW14" s="8">
        <v>20.080422356257522</v>
      </c>
      <c r="BX14" s="5">
        <v>15.92706337225655</v>
      </c>
      <c r="BY14" s="5">
        <v>12.944821405418393</v>
      </c>
      <c r="BZ14" s="5">
        <v>10.371315740952101</v>
      </c>
      <c r="CA14" s="5">
        <v>8.0343130306295922</v>
      </c>
      <c r="CC14" s="12">
        <v>19</v>
      </c>
      <c r="CD14" s="12">
        <v>19</v>
      </c>
      <c r="CE14" s="167">
        <v>19</v>
      </c>
      <c r="CF14" s="12">
        <v>19</v>
      </c>
      <c r="CG14" s="12">
        <v>20</v>
      </c>
      <c r="CH14" s="46"/>
      <c r="CI14" s="46"/>
      <c r="CJ14" s="46"/>
      <c r="CK14" s="46"/>
      <c r="CL14" s="46"/>
      <c r="CM14" s="136">
        <v>722.56259443156193</v>
      </c>
      <c r="CN14" s="136">
        <v>889.02734703751833</v>
      </c>
      <c r="CO14" s="136">
        <v>1109.6277964513224</v>
      </c>
      <c r="CP14" s="136">
        <v>1432.3938074182515</v>
      </c>
      <c r="CQ14" s="7"/>
      <c r="CR14" s="7"/>
      <c r="CS14" s="7"/>
      <c r="CT14" s="7"/>
      <c r="CU14" s="7"/>
      <c r="CV14" s="7"/>
      <c r="CW14" s="137"/>
      <c r="CX14" s="137"/>
      <c r="CY14" s="137"/>
      <c r="CZ14" s="137"/>
      <c r="DA14" s="101"/>
      <c r="DB14" s="185">
        <v>2573.7760749255003</v>
      </c>
      <c r="DC14" s="185">
        <v>2565.3705441783013</v>
      </c>
      <c r="DD14" s="185">
        <v>2524.5023676132205</v>
      </c>
      <c r="DE14" s="185">
        <v>2456.3036059646715</v>
      </c>
      <c r="DF14" s="185">
        <v>2359.3103233469292</v>
      </c>
      <c r="DG14" s="40"/>
      <c r="DH14" s="40"/>
      <c r="DI14" s="40"/>
      <c r="DJ14" s="40"/>
      <c r="DK14" s="40"/>
      <c r="DL14" s="7"/>
      <c r="DM14" s="7"/>
      <c r="DN14" s="7">
        <v>2.2050000000000001</v>
      </c>
      <c r="DO14" s="7">
        <v>2.3152500000000003</v>
      </c>
      <c r="DP14" s="7">
        <v>2.4310125000000005</v>
      </c>
      <c r="DQ14" s="7">
        <v>2.5525631250000007</v>
      </c>
      <c r="DR14" s="7">
        <v>2.6801912812500008</v>
      </c>
      <c r="DS14" s="78">
        <v>0.33372209675272946</v>
      </c>
      <c r="DT14" s="78">
        <v>0.2706775832630115</v>
      </c>
      <c r="DU14" s="6">
        <v>0.26267996776231617</v>
      </c>
      <c r="DV14" s="6">
        <v>0.27059781781649983</v>
      </c>
      <c r="DW14" s="172">
        <v>1.1965784709012568</v>
      </c>
      <c r="DX14" s="138">
        <v>1.4752312680028465</v>
      </c>
      <c r="DY14" s="138">
        <v>1.8434522642368218</v>
      </c>
      <c r="DZ14" s="138">
        <v>2.3805474723193565</v>
      </c>
      <c r="EA14" s="78">
        <v>-0.1203253</v>
      </c>
      <c r="EB14" s="6">
        <v>-6.0609859999999995E-2</v>
      </c>
      <c r="EC14" s="194">
        <v>2.6053649999999998E-2</v>
      </c>
      <c r="ED14" s="363">
        <v>0.15419088017059757</v>
      </c>
      <c r="EE14" s="175">
        <v>6.5765025166750757E-2</v>
      </c>
      <c r="EF14" s="363">
        <v>0.21995590533734832</v>
      </c>
      <c r="EG14" s="6">
        <v>2.519610194365085E-2</v>
      </c>
      <c r="EH14" s="363">
        <v>0.24515200728099917</v>
      </c>
      <c r="EI14" s="6">
        <v>1.7527960481316995E-2</v>
      </c>
      <c r="EJ14" s="194">
        <v>0.26267996776231617</v>
      </c>
      <c r="EK14" s="6">
        <v>0</v>
      </c>
      <c r="EL14" s="194">
        <v>0.24636811173454487</v>
      </c>
    </row>
    <row r="15" spans="2:142" x14ac:dyDescent="0.25">
      <c r="B15" s="38" t="s">
        <v>150</v>
      </c>
      <c r="C15" s="291">
        <v>2</v>
      </c>
      <c r="D15" s="186">
        <v>46120</v>
      </c>
      <c r="E15" s="147"/>
      <c r="F15" s="225">
        <v>386.54998779296875</v>
      </c>
      <c r="G15" s="25">
        <v>12230</v>
      </c>
      <c r="H15" s="25">
        <v>-126843</v>
      </c>
      <c r="I15" s="2">
        <v>66967</v>
      </c>
      <c r="J15" s="2"/>
      <c r="K15" s="80">
        <v>-59876</v>
      </c>
      <c r="L15" s="184">
        <v>4667630.3507080078</v>
      </c>
      <c r="M15" s="3">
        <v>282836</v>
      </c>
      <c r="N15" s="3">
        <v>307394</v>
      </c>
      <c r="O15" s="3">
        <v>350018</v>
      </c>
      <c r="P15" s="3">
        <v>402836</v>
      </c>
      <c r="Q15" s="3">
        <v>474201.18717150099</v>
      </c>
      <c r="R15" s="3">
        <v>547000.06537704926</v>
      </c>
      <c r="S15" s="3">
        <v>627861.63469972694</v>
      </c>
      <c r="T15" s="3">
        <v>715818.21273059095</v>
      </c>
      <c r="U15" s="3">
        <v>803490.67715293309</v>
      </c>
      <c r="V15" s="4">
        <v>0.55379442503783116</v>
      </c>
      <c r="W15" s="4">
        <v>0.56625047984020505</v>
      </c>
      <c r="X15" s="4">
        <v>0.58200435406179107</v>
      </c>
      <c r="Y15" s="4">
        <v>0.59652315086039975</v>
      </c>
      <c r="Z15" s="4">
        <v>0.60130016647638762</v>
      </c>
      <c r="AA15" s="4">
        <v>0.60309318982370008</v>
      </c>
      <c r="AB15" s="4">
        <v>0.6068193443567802</v>
      </c>
      <c r="AC15" s="4">
        <v>0.61614805858682919</v>
      </c>
      <c r="AD15" s="4">
        <v>0.62285470638040685</v>
      </c>
      <c r="AE15" s="146">
        <v>156633</v>
      </c>
      <c r="AF15" s="146">
        <v>174062</v>
      </c>
      <c r="AG15" s="146">
        <v>203712</v>
      </c>
      <c r="AH15" s="146">
        <v>240301</v>
      </c>
      <c r="AI15" s="146">
        <v>285137.25278952421</v>
      </c>
      <c r="AJ15" s="146">
        <v>329892.01426201715</v>
      </c>
      <c r="AK15" s="146">
        <v>380998.58551526454</v>
      </c>
      <c r="AL15" s="146">
        <v>441050.00207504752</v>
      </c>
      <c r="AM15" s="146">
        <v>500457.94979748444</v>
      </c>
      <c r="AN15" s="148">
        <v>4.5574891709096432</v>
      </c>
      <c r="AO15" s="148">
        <v>5.800581669548813</v>
      </c>
      <c r="AP15" s="148">
        <v>8.0435446292279256</v>
      </c>
      <c r="AQ15" s="148">
        <v>10.807031888798038</v>
      </c>
      <c r="AR15" s="148">
        <v>10.430842612585375</v>
      </c>
      <c r="AS15" s="148">
        <v>12.047232794126748</v>
      </c>
      <c r="AT15" s="148">
        <v>14.17434089422596</v>
      </c>
      <c r="AU15" s="11">
        <v>17.360857136679424</v>
      </c>
      <c r="AV15" s="11">
        <v>20.696307532016668</v>
      </c>
      <c r="AW15" s="148">
        <v>4.9626111406641842</v>
      </c>
      <c r="AX15" s="148">
        <v>5.9682439867945289</v>
      </c>
      <c r="AY15" s="148">
        <v>7.7855708202779788</v>
      </c>
      <c r="AZ15" s="148">
        <v>8.6659035159443984</v>
      </c>
      <c r="BA15" s="148">
        <v>10.430842612585376</v>
      </c>
      <c r="BB15" s="148">
        <v>12.047232794126749</v>
      </c>
      <c r="BC15" s="148">
        <v>14.17434089422596</v>
      </c>
      <c r="BD15" s="11">
        <v>17.360857136679428</v>
      </c>
      <c r="BE15" s="11">
        <v>20.696307532016672</v>
      </c>
      <c r="BF15" s="5">
        <v>13.335400895691102</v>
      </c>
      <c r="BG15" s="5">
        <v>11.586924581487274</v>
      </c>
      <c r="BH15" s="5">
        <v>9.8431435369222289</v>
      </c>
      <c r="BI15" s="5">
        <v>8.5331440454044412</v>
      </c>
      <c r="BJ15" s="5">
        <v>7.4341703533777608</v>
      </c>
      <c r="BK15" s="5">
        <v>6.5206923597300834</v>
      </c>
      <c r="BL15" s="5">
        <v>5.8091904280049169</v>
      </c>
      <c r="BM15" s="228">
        <v>16.369766858045192</v>
      </c>
      <c r="BN15" s="5">
        <v>14.148964354744084</v>
      </c>
      <c r="BO15" s="5">
        <v>12.251043778536552</v>
      </c>
      <c r="BP15" s="5">
        <v>10.582995870644572</v>
      </c>
      <c r="BQ15" s="5">
        <v>9.3267183638441811</v>
      </c>
      <c r="BR15" s="5">
        <v>37.058366437872941</v>
      </c>
      <c r="BS15" s="5">
        <v>32.086205554309466</v>
      </c>
      <c r="BT15" s="5">
        <v>27.271108454180979</v>
      </c>
      <c r="BU15" s="5">
        <v>22.265605018791334</v>
      </c>
      <c r="BV15" s="5">
        <v>18.677244102359111</v>
      </c>
      <c r="BW15" s="8">
        <v>37.058366437872934</v>
      </c>
      <c r="BX15" s="5">
        <v>32.086205554309458</v>
      </c>
      <c r="BY15" s="5">
        <v>27.271108454180979</v>
      </c>
      <c r="BZ15" s="5">
        <v>22.26560501879133</v>
      </c>
      <c r="CA15" s="5">
        <v>18.677244102359108</v>
      </c>
      <c r="CC15" s="12">
        <v>24</v>
      </c>
      <c r="CD15" s="12">
        <v>24</v>
      </c>
      <c r="CE15" s="167">
        <v>24</v>
      </c>
      <c r="CF15" s="12">
        <v>24</v>
      </c>
      <c r="CG15" s="12">
        <v>24</v>
      </c>
      <c r="CH15" s="46"/>
      <c r="CI15" s="46"/>
      <c r="CJ15" s="46"/>
      <c r="CK15" s="46"/>
      <c r="CL15" s="46"/>
      <c r="CM15" s="136">
        <v>289.13358705904199</v>
      </c>
      <c r="CN15" s="136">
        <v>340.18418146142301</v>
      </c>
      <c r="CO15" s="136">
        <v>416.66057128030627</v>
      </c>
      <c r="CP15" s="136">
        <v>496.71138076840009</v>
      </c>
      <c r="CQ15" s="7"/>
      <c r="CR15" s="7"/>
      <c r="CS15" s="7"/>
      <c r="CT15" s="7"/>
      <c r="CU15" s="7"/>
      <c r="CV15" s="7"/>
      <c r="CW15" s="137"/>
      <c r="CX15" s="137"/>
      <c r="CY15" s="137"/>
      <c r="CZ15" s="137"/>
      <c r="DA15" s="101"/>
      <c r="DB15" s="185">
        <v>12230</v>
      </c>
      <c r="DC15" s="185">
        <v>12230</v>
      </c>
      <c r="DD15" s="185">
        <v>12155.112426872223</v>
      </c>
      <c r="DE15" s="185">
        <v>11921.289721704206</v>
      </c>
      <c r="DF15" s="185">
        <v>11635.202033606465</v>
      </c>
      <c r="DG15" s="40"/>
      <c r="DH15" s="40"/>
      <c r="DI15" s="40"/>
      <c r="DJ15" s="40"/>
      <c r="DK15" s="40"/>
      <c r="DL15" s="7"/>
      <c r="DM15" s="7"/>
      <c r="DN15" s="7">
        <v>0.83</v>
      </c>
      <c r="DO15" s="7">
        <v>0.83</v>
      </c>
      <c r="DP15" s="7">
        <v>0.83</v>
      </c>
      <c r="DQ15" s="7">
        <v>0.83</v>
      </c>
      <c r="DR15" s="7">
        <v>0.83</v>
      </c>
      <c r="DS15" s="78">
        <v>-0.37255303846356624</v>
      </c>
      <c r="DT15" s="78">
        <v>-7.3626554274916045E-2</v>
      </c>
      <c r="DU15" s="6">
        <v>3.1099676685134803E-2</v>
      </c>
      <c r="DV15" s="6">
        <v>7.3526555737224886E-2</v>
      </c>
      <c r="DW15" s="172">
        <v>0.75013218526950975</v>
      </c>
      <c r="DX15" s="138">
        <v>0.88434663628681931</v>
      </c>
      <c r="DY15" s="138">
        <v>1.0843373031091594</v>
      </c>
      <c r="DZ15" s="138">
        <v>1.2935749490599142</v>
      </c>
      <c r="EA15" s="78">
        <v>0.13892160000000001</v>
      </c>
      <c r="EB15" s="6">
        <v>0.2733891</v>
      </c>
      <c r="EC15" s="194">
        <v>0.31932830000000001</v>
      </c>
      <c r="ED15" s="363">
        <v>0.14514317187255221</v>
      </c>
      <c r="EE15" s="175">
        <v>3.1723403209585666E-2</v>
      </c>
      <c r="EF15" s="363">
        <v>0.17686657508213788</v>
      </c>
      <c r="EG15" s="6">
        <v>1.3690976834106527E-2</v>
      </c>
      <c r="EH15" s="363">
        <v>0.19055755191624441</v>
      </c>
      <c r="EI15" s="6">
        <v>-0.1594578752311096</v>
      </c>
      <c r="EJ15" s="194">
        <v>3.1099676685134803E-2</v>
      </c>
      <c r="EK15" s="6">
        <v>0.15649729813554725</v>
      </c>
      <c r="EL15" s="194">
        <v>0.18508797187253045</v>
      </c>
    </row>
    <row r="16" spans="2:142" x14ac:dyDescent="0.25">
      <c r="B16" s="38" t="s">
        <v>232</v>
      </c>
      <c r="C16" s="307"/>
      <c r="D16" s="186">
        <v>46139</v>
      </c>
      <c r="E16" s="147"/>
      <c r="F16" s="225">
        <v>605.70001220703125</v>
      </c>
      <c r="G16" s="25">
        <v>2573.7760749255003</v>
      </c>
      <c r="H16" s="25">
        <v>-84819</v>
      </c>
      <c r="I16" s="2">
        <v>85081</v>
      </c>
      <c r="J16" s="2"/>
      <c r="K16" s="80">
        <v>262</v>
      </c>
      <c r="L16" s="184">
        <v>1559198.2000005406</v>
      </c>
      <c r="M16" s="3">
        <v>116608</v>
      </c>
      <c r="N16" s="3">
        <v>134902</v>
      </c>
      <c r="O16" s="3">
        <v>164500</v>
      </c>
      <c r="P16" s="3">
        <v>200965</v>
      </c>
      <c r="Q16" s="3">
        <v>248522.9119859153</v>
      </c>
      <c r="R16" s="3">
        <v>295151.31708353083</v>
      </c>
      <c r="S16" s="3">
        <v>335415.23411256413</v>
      </c>
      <c r="T16" s="3">
        <v>371309.47476557485</v>
      </c>
      <c r="U16" s="3">
        <v>403354.04262981628</v>
      </c>
      <c r="V16" s="4"/>
      <c r="W16" s="4"/>
      <c r="X16" s="4"/>
      <c r="Y16" s="4"/>
      <c r="Z16" s="4"/>
      <c r="AA16" s="4"/>
      <c r="AB16" s="4"/>
      <c r="AC16" s="4"/>
      <c r="AD16" s="4"/>
      <c r="AE16" s="236">
        <v>0</v>
      </c>
      <c r="AF16" s="236">
        <v>0</v>
      </c>
      <c r="AG16" s="236">
        <v>0</v>
      </c>
      <c r="AH16" s="236">
        <v>0</v>
      </c>
      <c r="AI16" s="236">
        <v>0</v>
      </c>
      <c r="AJ16" s="236">
        <v>0</v>
      </c>
      <c r="AK16" s="236">
        <v>0</v>
      </c>
      <c r="AL16" s="236">
        <v>0</v>
      </c>
      <c r="AM16" s="236">
        <v>0</v>
      </c>
      <c r="AN16" s="148">
        <v>11.527294297151407</v>
      </c>
      <c r="AO16" s="148">
        <v>17.776262985156663</v>
      </c>
      <c r="AP16" s="148">
        <v>26.860055920116974</v>
      </c>
      <c r="AQ16" s="148">
        <v>37.091372145366456</v>
      </c>
      <c r="AR16" s="148">
        <v>43.24424374482286</v>
      </c>
      <c r="AS16" s="148">
        <v>54.069647382218214</v>
      </c>
      <c r="AT16" s="148">
        <v>64.737817130516518</v>
      </c>
      <c r="AU16" s="11">
        <v>76.123333506299929</v>
      </c>
      <c r="AV16" s="11">
        <v>87.688622094045115</v>
      </c>
      <c r="AW16" s="148">
        <v>11.527294297151407</v>
      </c>
      <c r="AX16" s="148">
        <v>17.776262985156663</v>
      </c>
      <c r="AY16" s="148">
        <v>26.860055920116974</v>
      </c>
      <c r="AZ16" s="148">
        <v>37.091372145366456</v>
      </c>
      <c r="BA16" s="148">
        <v>43.24424374482286</v>
      </c>
      <c r="BB16" s="148">
        <v>54.069647382218214</v>
      </c>
      <c r="BC16" s="148">
        <v>64.737817130516518</v>
      </c>
      <c r="BD16" s="11">
        <v>76.123333506299929</v>
      </c>
      <c r="BE16" s="11">
        <v>87.688622094045115</v>
      </c>
      <c r="BF16" s="5">
        <v>9.4784085106415841</v>
      </c>
      <c r="BG16" s="5">
        <v>7.75855596745971</v>
      </c>
      <c r="BH16" s="5">
        <v>6.2738609794211087</v>
      </c>
      <c r="BI16" s="5">
        <v>5.2827079187970272</v>
      </c>
      <c r="BJ16" s="5">
        <v>4.6485610712519971</v>
      </c>
      <c r="BK16" s="5">
        <v>4.1991877556718311</v>
      </c>
      <c r="BL16" s="5">
        <v>3.8655821814373539</v>
      </c>
      <c r="BM16" s="229" t="s">
        <v>24</v>
      </c>
      <c r="BN16" s="229" t="s">
        <v>24</v>
      </c>
      <c r="BO16" s="5" t="e">
        <v>#DIV/0!</v>
      </c>
      <c r="BP16" s="5" t="e">
        <v>#DIV/0!</v>
      </c>
      <c r="BQ16" s="5" t="e">
        <v>#DIV/0!</v>
      </c>
      <c r="BR16" s="5">
        <v>14.006488719774289</v>
      </c>
      <c r="BS16" s="5">
        <v>11.202218648206438</v>
      </c>
      <c r="BT16" s="5">
        <v>9.3562007348176799</v>
      </c>
      <c r="BU16" s="5">
        <v>7.9568245938271192</v>
      </c>
      <c r="BV16" s="5">
        <v>6.9073957115830193</v>
      </c>
      <c r="BW16" s="8">
        <v>14.006488719774289</v>
      </c>
      <c r="BX16" s="5">
        <v>11.202218648206438</v>
      </c>
      <c r="BY16" s="5">
        <v>9.3562007348176799</v>
      </c>
      <c r="BZ16" s="5">
        <v>7.9568245938271192</v>
      </c>
      <c r="CA16" s="5">
        <v>6.9073957115830193</v>
      </c>
      <c r="CC16" s="12">
        <v>19</v>
      </c>
      <c r="CD16" s="12">
        <v>19</v>
      </c>
      <c r="CE16" s="167">
        <v>19</v>
      </c>
      <c r="CF16" s="12">
        <v>19</v>
      </c>
      <c r="CG16" s="12">
        <v>20</v>
      </c>
      <c r="CH16" s="46"/>
      <c r="CI16" s="46"/>
      <c r="CJ16" s="46"/>
      <c r="CK16" s="46"/>
      <c r="CL16" s="46"/>
      <c r="CM16" s="136">
        <v>1027.3233002621462</v>
      </c>
      <c r="CN16" s="136">
        <v>1230.0185254798139</v>
      </c>
      <c r="CO16" s="136">
        <v>1446.3433366196987</v>
      </c>
      <c r="CP16" s="136">
        <v>1666.0838197868572</v>
      </c>
      <c r="CQ16" s="7"/>
      <c r="CR16" s="7"/>
      <c r="CS16" s="7"/>
      <c r="CT16" s="7"/>
      <c r="CU16" s="7"/>
      <c r="CV16" s="7"/>
      <c r="CW16" s="137"/>
      <c r="CX16" s="137"/>
      <c r="CY16" s="137"/>
      <c r="CZ16" s="137"/>
      <c r="DA16" s="101"/>
      <c r="DB16" s="185">
        <v>2573.7760749255003</v>
      </c>
      <c r="DC16" s="185">
        <v>2565.3705441783013</v>
      </c>
      <c r="DD16" s="185">
        <v>2524.5023676132205</v>
      </c>
      <c r="DE16" s="185">
        <v>2456.3036059646715</v>
      </c>
      <c r="DF16" s="185">
        <v>2359.3103233469292</v>
      </c>
      <c r="DG16" s="40"/>
      <c r="DH16" s="40"/>
      <c r="DI16" s="40"/>
      <c r="DJ16" s="40"/>
      <c r="DK16" s="40"/>
      <c r="DL16" s="7"/>
      <c r="DM16" s="7"/>
      <c r="DN16" s="7">
        <v>2.2050000000000001</v>
      </c>
      <c r="DO16" s="7">
        <v>2.3152500000000003</v>
      </c>
      <c r="DP16" s="7">
        <v>2.4310125000000005</v>
      </c>
      <c r="DQ16" s="7">
        <v>2.5525631250000007</v>
      </c>
      <c r="DR16" s="7">
        <v>2.6801912812500008</v>
      </c>
      <c r="DS16" s="78">
        <v>1.3523542067052112</v>
      </c>
      <c r="DT16" s="78">
        <v>0.55169980009119568</v>
      </c>
      <c r="DU16" s="6">
        <v>0.39644723270831195</v>
      </c>
      <c r="DV16" s="6">
        <v>0.32446973163244897</v>
      </c>
      <c r="DW16" s="172">
        <v>1.6997330023335846</v>
      </c>
      <c r="DX16" s="138">
        <v>2.0382016684817938</v>
      </c>
      <c r="DY16" s="138">
        <v>2.3993636615991272</v>
      </c>
      <c r="DZ16" s="138">
        <v>2.7663655467108246</v>
      </c>
      <c r="EA16" s="78">
        <v>-0.1203253</v>
      </c>
      <c r="EB16" s="6">
        <v>-6.0609859999999995E-2</v>
      </c>
      <c r="EC16" s="194">
        <v>2.6053649999999998E-2</v>
      </c>
      <c r="ED16" s="363">
        <v>0.13535275756238674</v>
      </c>
      <c r="EE16" s="175">
        <v>4.2678214511111756E-2</v>
      </c>
      <c r="EF16" s="363">
        <v>0.17803097207349849</v>
      </c>
      <c r="EG16" s="6">
        <v>2.4467920209145788E-2</v>
      </c>
      <c r="EH16" s="363">
        <v>0.20249889228264428</v>
      </c>
      <c r="EI16" s="6">
        <v>0.19394834042566766</v>
      </c>
      <c r="EJ16" s="194">
        <v>0.39644723270831195</v>
      </c>
      <c r="EK16" s="6">
        <v>0</v>
      </c>
      <c r="EL16" s="194">
        <v>0.20743334087625898</v>
      </c>
    </row>
    <row r="17" spans="2:142" x14ac:dyDescent="0.25">
      <c r="B17" s="38" t="s">
        <v>137</v>
      </c>
      <c r="C17" s="291">
        <v>2</v>
      </c>
      <c r="D17" s="186">
        <v>46068</v>
      </c>
      <c r="E17" s="147"/>
      <c r="F17" s="225">
        <v>132.47500610351563</v>
      </c>
      <c r="G17" s="25">
        <v>608</v>
      </c>
      <c r="H17" s="25">
        <v>-11014</v>
      </c>
      <c r="I17" s="2">
        <v>1999</v>
      </c>
      <c r="J17" s="2"/>
      <c r="K17" s="80">
        <v>-9015</v>
      </c>
      <c r="L17" s="80">
        <v>71529.8037109375</v>
      </c>
      <c r="M17" s="3">
        <v>8399</v>
      </c>
      <c r="N17" s="3">
        <v>9917</v>
      </c>
      <c r="O17" s="3">
        <v>11102</v>
      </c>
      <c r="P17" s="3">
        <v>12241</v>
      </c>
      <c r="Q17" s="3">
        <v>13606.372766707706</v>
      </c>
      <c r="R17" s="3">
        <v>15272.942611510176</v>
      </c>
      <c r="S17" s="3">
        <v>17277.306592194524</v>
      </c>
      <c r="T17" s="3">
        <v>19431.570083493669</v>
      </c>
      <c r="U17" s="3">
        <v>21648.865444872594</v>
      </c>
      <c r="V17" s="135">
        <v>0.82154077866412667</v>
      </c>
      <c r="W17" s="135">
        <v>0.82827467984269432</v>
      </c>
      <c r="X17" s="135">
        <v>0.83084128985768335</v>
      </c>
      <c r="Y17" s="135">
        <v>0.82958908585899849</v>
      </c>
      <c r="Z17" s="135">
        <v>0.82958908585899849</v>
      </c>
      <c r="AA17" s="135">
        <v>0.82958908585899838</v>
      </c>
      <c r="AB17" s="135">
        <v>0.82958908585899849</v>
      </c>
      <c r="AC17" s="135">
        <v>0.82958908585899849</v>
      </c>
      <c r="AD17" s="135">
        <v>0.82958908585899838</v>
      </c>
      <c r="AE17" s="146">
        <v>6900.1210000000001</v>
      </c>
      <c r="AF17" s="146">
        <v>8214</v>
      </c>
      <c r="AG17" s="146">
        <v>9224</v>
      </c>
      <c r="AH17" s="146">
        <v>10155</v>
      </c>
      <c r="AI17" s="146">
        <v>11287.698345389817</v>
      </c>
      <c r="AJ17" s="146">
        <v>12670.266499459671</v>
      </c>
      <c r="AK17" s="146">
        <v>14333.064981924303</v>
      </c>
      <c r="AL17" s="146">
        <v>16120.218462370576</v>
      </c>
      <c r="AM17" s="146">
        <v>17959.662494296314</v>
      </c>
      <c r="AN17" s="148">
        <v>2.4164705882352941</v>
      </c>
      <c r="AO17" s="148">
        <v>3.7788519637462232</v>
      </c>
      <c r="AP17" s="148">
        <v>4.1484186046511624</v>
      </c>
      <c r="AQ17" s="148">
        <v>4.2619582664526483</v>
      </c>
      <c r="AR17" s="148">
        <v>4.9188101052054396</v>
      </c>
      <c r="AS17" s="148">
        <v>5.6859833534431905</v>
      </c>
      <c r="AT17" s="148">
        <v>6.9655912241271309</v>
      </c>
      <c r="AU17" s="11">
        <v>8.5476450768562113</v>
      </c>
      <c r="AV17" s="11">
        <v>10.23047230470873</v>
      </c>
      <c r="AW17" s="225">
        <v>2.4164705882352941</v>
      </c>
      <c r="AX17" s="225">
        <v>3.7788519637462232</v>
      </c>
      <c r="AY17" s="225">
        <v>4.1484186046511624</v>
      </c>
      <c r="AZ17" s="225">
        <v>4.2619582664526483</v>
      </c>
      <c r="BA17" s="225">
        <v>4.9188101052054396</v>
      </c>
      <c r="BB17" s="225">
        <v>5.6859833534431905</v>
      </c>
      <c r="BC17" s="225">
        <v>6.9655912241271309</v>
      </c>
      <c r="BD17" s="227">
        <v>8.5476450768562113</v>
      </c>
      <c r="BE17" s="227">
        <v>10.23047230470873</v>
      </c>
      <c r="BF17" s="5">
        <v>6.4429655657482883</v>
      </c>
      <c r="BG17" s="5">
        <v>5.8434608047494079</v>
      </c>
      <c r="BH17" s="5">
        <v>5.2570809970720331</v>
      </c>
      <c r="BI17" s="5">
        <v>4.6834330181421855</v>
      </c>
      <c r="BJ17" s="5">
        <v>4.1401015447195322</v>
      </c>
      <c r="BK17" s="5">
        <v>3.6811129210654556</v>
      </c>
      <c r="BL17" s="5">
        <v>3.304090179371451</v>
      </c>
      <c r="BM17" s="5">
        <v>6.3369698163622603</v>
      </c>
      <c r="BN17" s="5">
        <v>5.6454853348181686</v>
      </c>
      <c r="BO17" s="5">
        <v>4.9905448556289302</v>
      </c>
      <c r="BP17" s="5">
        <v>4.4372726013552182</v>
      </c>
      <c r="BQ17" s="5">
        <v>3.982803336847458</v>
      </c>
      <c r="BR17" s="5">
        <v>26.932327792715768</v>
      </c>
      <c r="BS17" s="5">
        <v>23.298521622173652</v>
      </c>
      <c r="BT17" s="5">
        <v>19.018486994277541</v>
      </c>
      <c r="BU17" s="5">
        <v>15.498421484790919</v>
      </c>
      <c r="BV17" s="5">
        <v>12.949060625729077</v>
      </c>
      <c r="BW17" s="8">
        <v>26.932327792715768</v>
      </c>
      <c r="BX17" s="5">
        <v>23.298521622173652</v>
      </c>
      <c r="BY17" s="5">
        <v>19.018486994277541</v>
      </c>
      <c r="BZ17" s="5">
        <v>15.498421484790919</v>
      </c>
      <c r="CA17" s="5">
        <v>12.949060625729077</v>
      </c>
      <c r="CC17" s="12">
        <v>24</v>
      </c>
      <c r="CD17" s="12">
        <v>24</v>
      </c>
      <c r="CE17" s="167">
        <v>24</v>
      </c>
      <c r="CF17" s="12">
        <v>24</v>
      </c>
      <c r="CG17" s="12">
        <v>23</v>
      </c>
      <c r="CH17" s="46"/>
      <c r="CI17" s="46"/>
      <c r="CJ17" s="46"/>
      <c r="CK17" s="46"/>
      <c r="CL17" s="46"/>
      <c r="CM17" s="136">
        <v>136.46360048263656</v>
      </c>
      <c r="CN17" s="136">
        <v>167.17418937905114</v>
      </c>
      <c r="CO17" s="136">
        <v>205.14348184454906</v>
      </c>
      <c r="CP17" s="136">
        <v>245.53133531300952</v>
      </c>
      <c r="CQ17" s="7"/>
      <c r="CR17" s="7"/>
      <c r="CS17" s="7"/>
      <c r="CT17" s="7"/>
      <c r="CU17" s="7"/>
      <c r="CV17" s="7"/>
      <c r="CW17" s="137"/>
      <c r="CX17" s="137"/>
      <c r="CY17" s="137"/>
      <c r="CZ17" s="137"/>
      <c r="DA17" s="101"/>
      <c r="DB17" s="40">
        <v>602.94313879849369</v>
      </c>
      <c r="DC17" s="40">
        <v>586.00672415356576</v>
      </c>
      <c r="DD17" s="40">
        <v>568.5200176318607</v>
      </c>
      <c r="DE17" s="40">
        <v>550.47102700725986</v>
      </c>
      <c r="DF17" s="40">
        <v>532.3178500555988</v>
      </c>
      <c r="DG17" s="40"/>
      <c r="DH17" s="40"/>
      <c r="DI17" s="40"/>
      <c r="DJ17" s="40"/>
      <c r="DK17" s="40"/>
      <c r="DL17" s="7"/>
      <c r="DM17" s="7"/>
      <c r="DN17" s="7"/>
      <c r="DO17" s="7"/>
      <c r="DP17" s="7"/>
      <c r="DQ17" s="7"/>
      <c r="DR17" s="7"/>
      <c r="DS17" s="78">
        <v>4.9074708602165229E-2</v>
      </c>
      <c r="DT17" s="78">
        <v>0.15451376171808673</v>
      </c>
      <c r="DU17" s="6">
        <v>0.1817149722915874</v>
      </c>
      <c r="DV17" s="6">
        <v>0.18588478123141727</v>
      </c>
      <c r="DW17" s="172">
        <v>1.0301082785080551</v>
      </c>
      <c r="DX17" s="138">
        <v>1.2619300371907261</v>
      </c>
      <c r="DY17" s="138">
        <v>1.5485448000979933</v>
      </c>
      <c r="DZ17" s="138">
        <v>1.8534162974195447</v>
      </c>
      <c r="EA17" s="78">
        <v>-6.4111639999999998E-2</v>
      </c>
      <c r="EB17" s="6">
        <v>5.297673E-2</v>
      </c>
      <c r="EC17" s="194">
        <v>0.1575935</v>
      </c>
      <c r="ED17" s="363">
        <v>0.12597821450816693</v>
      </c>
      <c r="EE17" s="175">
        <v>4.5971945491740884E-2</v>
      </c>
      <c r="EF17" s="363">
        <v>0.17195015999990781</v>
      </c>
      <c r="EG17" s="6">
        <v>3.602890268448844E-2</v>
      </c>
      <c r="EH17" s="363">
        <v>0.20797906268439625</v>
      </c>
      <c r="EI17" s="6">
        <v>-2.6264090392808859E-2</v>
      </c>
      <c r="EJ17" s="194">
        <v>0.1817149722915874</v>
      </c>
      <c r="EK17" s="6">
        <v>0.12612995141667538</v>
      </c>
      <c r="EL17" s="194">
        <v>0.20225190723405673</v>
      </c>
    </row>
    <row r="18" spans="2:142" x14ac:dyDescent="0.25">
      <c r="B18" s="142" t="s">
        <v>21</v>
      </c>
      <c r="C18" s="290">
        <v>1</v>
      </c>
      <c r="D18" s="186">
        <v>46119</v>
      </c>
      <c r="E18" s="147"/>
      <c r="F18" s="149">
        <v>47.790000915527344</v>
      </c>
      <c r="G18" s="3">
        <v>161.46555950000001</v>
      </c>
      <c r="H18" s="25">
        <v>-811</v>
      </c>
      <c r="I18" s="3">
        <v>28</v>
      </c>
      <c r="J18" s="3"/>
      <c r="K18" s="76">
        <v>-783</v>
      </c>
      <c r="L18" s="76">
        <v>6933.4392363311354</v>
      </c>
      <c r="M18" s="3">
        <v>720.20299999999997</v>
      </c>
      <c r="N18" s="3">
        <v>950.01</v>
      </c>
      <c r="O18" s="3">
        <v>1151.7080000000001</v>
      </c>
      <c r="P18" s="3">
        <v>1322.509</v>
      </c>
      <c r="Q18" s="3">
        <v>1507.6602600000001</v>
      </c>
      <c r="R18" s="3">
        <v>1703.6560938</v>
      </c>
      <c r="S18" s="3">
        <v>1908.0948250560002</v>
      </c>
      <c r="T18" s="3">
        <v>2127.5257299374402</v>
      </c>
      <c r="U18" s="3">
        <v>2361.553560230559</v>
      </c>
      <c r="V18" s="4">
        <v>0.83556441725457953</v>
      </c>
      <c r="W18" s="4">
        <v>0.85259628846012148</v>
      </c>
      <c r="X18" s="4">
        <v>0.85752899172359653</v>
      </c>
      <c r="Y18" s="4">
        <v>0.83613041574764324</v>
      </c>
      <c r="Z18" s="4">
        <v>0.84928708276435949</v>
      </c>
      <c r="AA18" s="4">
        <v>0.85529973467773546</v>
      </c>
      <c r="AB18" s="4">
        <v>0.85933918869169734</v>
      </c>
      <c r="AC18" s="4">
        <v>0.86341685441544369</v>
      </c>
      <c r="AD18" s="4">
        <v>0.86753327502644018</v>
      </c>
      <c r="AE18" s="146">
        <v>601.77599999999995</v>
      </c>
      <c r="AF18" s="3">
        <v>809.97500000000002</v>
      </c>
      <c r="AG18" s="3">
        <v>987.62300000000005</v>
      </c>
      <c r="AH18" s="3">
        <v>1105.79</v>
      </c>
      <c r="AI18" s="3">
        <v>1280.4363840151559</v>
      </c>
      <c r="AJ18" s="3">
        <v>1457.1366050092472</v>
      </c>
      <c r="AK18" s="3">
        <v>1639.7006589104494</v>
      </c>
      <c r="AL18" s="3">
        <v>1836.9415734305055</v>
      </c>
      <c r="AM18" s="3">
        <v>2048.7262942571665</v>
      </c>
      <c r="AN18" s="11"/>
      <c r="AO18" s="11">
        <v>0.28600909737087093</v>
      </c>
      <c r="AP18" s="11">
        <v>0.88947487666043556</v>
      </c>
      <c r="AQ18" s="11">
        <v>1.3067373292536053</v>
      </c>
      <c r="AR18" s="11">
        <v>1.5666595317545828</v>
      </c>
      <c r="AS18" s="11">
        <v>2.2311580057968907</v>
      </c>
      <c r="AT18" s="11">
        <v>2.9986834405629059</v>
      </c>
      <c r="AU18" s="11">
        <v>3.9350529929697005</v>
      </c>
      <c r="AV18" s="11">
        <v>5.2472298556292394</v>
      </c>
      <c r="AW18" s="11"/>
      <c r="AX18" s="11"/>
      <c r="AY18" s="11">
        <v>-0.32076478871927772</v>
      </c>
      <c r="AZ18" s="11">
        <v>-0.2023966467444398</v>
      </c>
      <c r="BA18" s="11">
        <v>0.34626651271075187</v>
      </c>
      <c r="BB18" s="11">
        <v>0.90715356732215002</v>
      </c>
      <c r="BC18" s="11">
        <v>1.5690341895068045</v>
      </c>
      <c r="BD18" s="11">
        <v>2.3974071894123115</v>
      </c>
      <c r="BE18" s="11">
        <v>3.5235656792081773</v>
      </c>
      <c r="BF18" s="5">
        <v>6.0201363855518366</v>
      </c>
      <c r="BG18" s="5">
        <v>5.2426404934341733</v>
      </c>
      <c r="BH18" s="5">
        <v>4.5988074503808534</v>
      </c>
      <c r="BI18" s="5">
        <v>4.0697411065317288</v>
      </c>
      <c r="BJ18" s="5">
        <v>3.6336974165461862</v>
      </c>
      <c r="BK18" s="5">
        <v>3.2589214498172074</v>
      </c>
      <c r="BL18" s="5">
        <v>2.9359652701055921</v>
      </c>
      <c r="BM18" s="5">
        <v>5.4149033274026896</v>
      </c>
      <c r="BN18" s="5">
        <v>4.7582630293521007</v>
      </c>
      <c r="BO18" s="5">
        <v>4.228478654718768</v>
      </c>
      <c r="BP18" s="5">
        <v>3.7744473404142478</v>
      </c>
      <c r="BQ18" s="5">
        <v>3.3842681942270296</v>
      </c>
      <c r="BR18" s="234"/>
      <c r="BS18" s="234"/>
      <c r="BT18" s="234"/>
      <c r="BU18" s="234"/>
      <c r="BV18" s="234"/>
      <c r="BW18" s="199" t="s">
        <v>24</v>
      </c>
      <c r="BX18" s="5">
        <v>52.681268791787787</v>
      </c>
      <c r="BY18" s="5">
        <v>30.45822789275816</v>
      </c>
      <c r="BZ18" s="5">
        <v>19.934035872830744</v>
      </c>
      <c r="CA18" s="5">
        <v>13.562965832459467</v>
      </c>
      <c r="CB18" t="s">
        <v>64</v>
      </c>
      <c r="CC18" s="12">
        <v>7</v>
      </c>
      <c r="CD18" s="12">
        <v>7</v>
      </c>
      <c r="CE18" s="167">
        <v>7</v>
      </c>
      <c r="CF18" s="12">
        <v>7</v>
      </c>
      <c r="CG18" s="12">
        <v>7</v>
      </c>
      <c r="CH18" s="46">
        <v>92.895312267610592</v>
      </c>
      <c r="CI18" s="46">
        <v>105.12150924735663</v>
      </c>
      <c r="CJ18" s="46">
        <v>118.9866492934998</v>
      </c>
      <c r="CK18" s="46">
        <v>135.20340128122743</v>
      </c>
      <c r="CL18" s="46">
        <v>152.60937886512519</v>
      </c>
      <c r="CM18" s="19">
        <v>68.427825540799077</v>
      </c>
      <c r="CN18" s="19">
        <v>78.045916243460454</v>
      </c>
      <c r="CO18" s="19">
        <v>89.154683063401521</v>
      </c>
      <c r="CP18" s="19">
        <v>101.91875829577174</v>
      </c>
      <c r="CQ18" s="7"/>
      <c r="CR18" s="7"/>
      <c r="CS18" s="7"/>
      <c r="CT18" s="7"/>
      <c r="CU18" s="7"/>
      <c r="CV18" s="7"/>
      <c r="CW18" s="41">
        <v>10199.95623506473</v>
      </c>
      <c r="CX18" s="41">
        <v>11477.904612373146</v>
      </c>
      <c r="CY18" s="41">
        <v>12858.591014013538</v>
      </c>
      <c r="CZ18" s="41">
        <v>14341.084059800165</v>
      </c>
      <c r="DA18" s="19"/>
      <c r="DB18" s="40">
        <v>160.49985730609669</v>
      </c>
      <c r="DC18" s="40">
        <v>157.09476168012154</v>
      </c>
      <c r="DD18" s="40">
        <v>153.00700473930979</v>
      </c>
      <c r="DE18" s="40">
        <v>148.39058395816033</v>
      </c>
      <c r="DF18" s="40">
        <v>143.41422464374998</v>
      </c>
      <c r="DG18" s="40">
        <v>-782.7</v>
      </c>
      <c r="DH18" s="40">
        <v>-782.7</v>
      </c>
      <c r="DI18" s="40">
        <v>-782.7</v>
      </c>
      <c r="DJ18" s="40">
        <v>-782.7</v>
      </c>
      <c r="DK18" s="40">
        <v>-782.7</v>
      </c>
      <c r="DL18" s="7"/>
      <c r="DM18" s="7"/>
      <c r="DN18" s="7"/>
      <c r="DO18" s="7"/>
      <c r="DP18" s="7"/>
      <c r="DQ18" s="7"/>
      <c r="DR18" s="7"/>
      <c r="DS18" s="78">
        <v>0.78557647123150143</v>
      </c>
      <c r="DT18" s="78">
        <v>0.353805709867691</v>
      </c>
      <c r="DU18" s="6">
        <v>0.26880222750707072</v>
      </c>
      <c r="DV18" s="6">
        <v>0.23276900860325611</v>
      </c>
      <c r="DW18" s="171">
        <v>1.4318439889078627</v>
      </c>
      <c r="DX18" s="132">
        <v>1.6331013757755073</v>
      </c>
      <c r="DY18" s="132">
        <v>1.8655509804444148</v>
      </c>
      <c r="DZ18" s="132">
        <v>2.1326377138163548</v>
      </c>
      <c r="EA18" s="78">
        <v>-0.137987</v>
      </c>
      <c r="EB18" s="6">
        <v>-8.1314890000000001E-2</v>
      </c>
      <c r="EC18" s="194">
        <v>-0.33384439999999999</v>
      </c>
      <c r="ED18" s="363">
        <v>0.11968032972613352</v>
      </c>
      <c r="EE18" s="188"/>
      <c r="EF18" s="188"/>
      <c r="EG18" s="6">
        <v>2.6495744903736518E-2</v>
      </c>
      <c r="EH18" s="363">
        <v>0.14617607462987003</v>
      </c>
      <c r="EI18" s="6">
        <v>0.12262615287720069</v>
      </c>
      <c r="EJ18" s="194">
        <v>0.26880222750707072</v>
      </c>
      <c r="EK18" s="6">
        <v>0.12783554817174836</v>
      </c>
      <c r="EL18" s="235" t="s">
        <v>24</v>
      </c>
    </row>
    <row r="19" spans="2:142" x14ac:dyDescent="0.25">
      <c r="B19" s="142" t="s">
        <v>134</v>
      </c>
      <c r="C19" s="290">
        <v>1</v>
      </c>
      <c r="D19" s="186">
        <v>46120</v>
      </c>
      <c r="E19" s="147"/>
      <c r="F19" s="225">
        <v>260.35501098632813</v>
      </c>
      <c r="G19" s="25">
        <v>10827</v>
      </c>
      <c r="H19" s="25">
        <v>-123329</v>
      </c>
      <c r="I19" s="2">
        <v>178547</v>
      </c>
      <c r="J19" s="2"/>
      <c r="K19" s="80">
        <v>55218</v>
      </c>
      <c r="L19" s="184">
        <v>2874081.7039489746</v>
      </c>
      <c r="M19" s="226">
        <v>513983</v>
      </c>
      <c r="N19" s="226">
        <v>574785</v>
      </c>
      <c r="O19" s="226">
        <v>637959</v>
      </c>
      <c r="P19" s="226">
        <v>716924</v>
      </c>
      <c r="Q19" s="226">
        <v>817469.17501926073</v>
      </c>
      <c r="R19" s="226">
        <v>928320.73608933319</v>
      </c>
      <c r="S19" s="226">
        <v>1044416.014692727</v>
      </c>
      <c r="T19" s="226">
        <v>1153879.6805496779</v>
      </c>
      <c r="U19" s="226">
        <v>1265800.990084115</v>
      </c>
      <c r="V19" s="135">
        <v>0.43805339865326287</v>
      </c>
      <c r="W19" s="135">
        <v>0.46982088955000567</v>
      </c>
      <c r="X19" s="135">
        <v>0.48854393464156787</v>
      </c>
      <c r="Y19" s="135">
        <v>0.50285664868242663</v>
      </c>
      <c r="Z19" s="135">
        <v>0.52586232943955857</v>
      </c>
      <c r="AA19" s="135">
        <v>0.54940611163236874</v>
      </c>
      <c r="AB19" s="135">
        <v>0.56879977424228445</v>
      </c>
      <c r="AC19" s="135">
        <v>0.58047854418577527</v>
      </c>
      <c r="AD19" s="135">
        <v>0.58999332863741405</v>
      </c>
      <c r="AE19" s="146">
        <v>225152</v>
      </c>
      <c r="AF19" s="146">
        <v>270046</v>
      </c>
      <c r="AG19" s="146">
        <v>311671</v>
      </c>
      <c r="AH19" s="146">
        <v>360510</v>
      </c>
      <c r="AI19" s="146">
        <v>429876.24462066265</v>
      </c>
      <c r="AJ19" s="146">
        <v>510025.08596253896</v>
      </c>
      <c r="AK19" s="146">
        <v>594063.59337224951</v>
      </c>
      <c r="AL19" s="146">
        <v>669802.39713102451</v>
      </c>
      <c r="AM19" s="146">
        <v>746814.1395322613</v>
      </c>
      <c r="AN19" s="148">
        <v>-0.26715084895475549</v>
      </c>
      <c r="AO19" s="148">
        <v>2.8998284407167367</v>
      </c>
      <c r="AP19" s="148">
        <v>5.5263501539035538</v>
      </c>
      <c r="AQ19" s="148">
        <v>7.1737323358270988</v>
      </c>
      <c r="AR19" s="148">
        <v>7.3680359006528509</v>
      </c>
      <c r="AS19" s="148">
        <v>9.5121519915390103</v>
      </c>
      <c r="AT19" s="148">
        <v>12.252122487521879</v>
      </c>
      <c r="AU19" s="11">
        <v>15.255781628958147</v>
      </c>
      <c r="AV19" s="11">
        <v>19.175996570913487</v>
      </c>
      <c r="AW19" s="225">
        <v>1.3825694376288151</v>
      </c>
      <c r="AX19" s="225">
        <v>2.8115707205489895</v>
      </c>
      <c r="AY19" s="225">
        <v>5.7456393993097663</v>
      </c>
      <c r="AZ19" s="225">
        <v>5.8183245589729378</v>
      </c>
      <c r="BA19" s="225">
        <v>7.3680359006528509</v>
      </c>
      <c r="BB19" s="225">
        <v>9.5121519915390103</v>
      </c>
      <c r="BC19" s="225">
        <v>12.252122487521879</v>
      </c>
      <c r="BD19" s="227">
        <v>15.255781628958147</v>
      </c>
      <c r="BE19" s="227">
        <v>19.175996570913487</v>
      </c>
      <c r="BF19" s="5">
        <v>4.5051197709397854</v>
      </c>
      <c r="BG19" s="5">
        <v>4.0089070863145526</v>
      </c>
      <c r="BH19" s="5">
        <v>3.5158288431869704</v>
      </c>
      <c r="BI19" s="5">
        <v>3.0960007594534642</v>
      </c>
      <c r="BJ19" s="5">
        <v>2.7518552602762849</v>
      </c>
      <c r="BK19" s="5">
        <v>2.4907984362631619</v>
      </c>
      <c r="BL19" s="5">
        <v>2.2705636403065115</v>
      </c>
      <c r="BM19" s="228">
        <v>6.6858351442172888</v>
      </c>
      <c r="BN19" s="5">
        <v>5.6351771374635371</v>
      </c>
      <c r="BO19" s="5">
        <v>4.8380034326527568</v>
      </c>
      <c r="BP19" s="5">
        <v>4.2909397103676774</v>
      </c>
      <c r="BQ19" s="5">
        <v>3.8484564656864246</v>
      </c>
      <c r="BR19" s="5">
        <v>35.335741369454936</v>
      </c>
      <c r="BS19" s="5">
        <v>27.370779106338084</v>
      </c>
      <c r="BT19" s="5">
        <v>21.249788455142003</v>
      </c>
      <c r="BU19" s="5">
        <v>17.065989624033993</v>
      </c>
      <c r="BV19" s="5">
        <v>13.577130660381924</v>
      </c>
      <c r="BW19" s="8">
        <v>35.335741369454936</v>
      </c>
      <c r="BX19" s="5">
        <v>27.370779106338084</v>
      </c>
      <c r="BY19" s="5">
        <v>21.249788455142003</v>
      </c>
      <c r="BZ19" s="5">
        <v>17.065989624033993</v>
      </c>
      <c r="CA19" s="5">
        <v>13.577130660381924</v>
      </c>
      <c r="CC19" s="12">
        <v>26</v>
      </c>
      <c r="CD19" s="12">
        <v>26</v>
      </c>
      <c r="CE19" s="167">
        <v>26</v>
      </c>
      <c r="CF19" s="12">
        <v>26</v>
      </c>
      <c r="CG19" s="12">
        <v>24</v>
      </c>
      <c r="CH19" s="46"/>
      <c r="CI19" s="46"/>
      <c r="CJ19" s="46"/>
      <c r="CK19" s="46"/>
      <c r="CL19" s="46"/>
      <c r="CM19" s="136">
        <v>247.31595178001427</v>
      </c>
      <c r="CN19" s="136">
        <v>318.55518467556885</v>
      </c>
      <c r="CO19" s="136">
        <v>396.65032235291181</v>
      </c>
      <c r="CP19" s="136">
        <v>498.57591084375065</v>
      </c>
      <c r="CQ19" s="7"/>
      <c r="CR19" s="7"/>
      <c r="CS19" s="7"/>
      <c r="CT19" s="7"/>
      <c r="CU19" s="7"/>
      <c r="CV19" s="7"/>
      <c r="CW19" s="137"/>
      <c r="CX19" s="137"/>
      <c r="CY19" s="137"/>
      <c r="CZ19" s="137"/>
      <c r="DA19" s="101"/>
      <c r="DB19" s="185">
        <v>10827</v>
      </c>
      <c r="DC19" s="185">
        <v>10788.313435727139</v>
      </c>
      <c r="DD19" s="185">
        <v>10587.028530122499</v>
      </c>
      <c r="DE19" s="185">
        <v>10192.758926742536</v>
      </c>
      <c r="DF19" s="185">
        <v>9738.2352726687677</v>
      </c>
      <c r="DG19" s="40"/>
      <c r="DH19" s="40"/>
      <c r="DI19" s="40"/>
      <c r="DJ19" s="40"/>
      <c r="DK19" s="40"/>
      <c r="DL19" s="7"/>
      <c r="DM19" s="7"/>
      <c r="DN19" s="7"/>
      <c r="DO19" s="7"/>
      <c r="DP19" s="7"/>
      <c r="DQ19" s="7"/>
      <c r="DR19" s="7"/>
      <c r="DS19" s="78">
        <v>-7.9630524458702667E-2</v>
      </c>
      <c r="DT19" s="78">
        <v>0.13269529041962325</v>
      </c>
      <c r="DU19" s="6">
        <v>0.17438061315648223</v>
      </c>
      <c r="DV19" s="6">
        <v>0.19664114397053201</v>
      </c>
      <c r="DW19" s="171">
        <v>0.94991815537977653</v>
      </c>
      <c r="DX19" s="132">
        <v>1.223541592185053</v>
      </c>
      <c r="DY19" s="132">
        <v>1.5234979378743008</v>
      </c>
      <c r="DZ19" s="132">
        <v>1.9149848852724101</v>
      </c>
      <c r="EA19" s="78">
        <v>3.9032580000000004E-2</v>
      </c>
      <c r="EB19" s="6">
        <v>0.27081909999999998</v>
      </c>
      <c r="EC19" s="194">
        <v>0.1690691</v>
      </c>
      <c r="ED19" s="363">
        <v>0.1189282387704369</v>
      </c>
      <c r="EE19" s="175">
        <v>0.12131373789978017</v>
      </c>
      <c r="EF19" s="363">
        <v>0.24024197667021707</v>
      </c>
      <c r="EG19" s="6">
        <v>2.8149706366793703E-2</v>
      </c>
      <c r="EH19" s="363">
        <v>0.26839168303701078</v>
      </c>
      <c r="EI19" s="6">
        <v>-9.4011069880528542E-2</v>
      </c>
      <c r="EJ19" s="194">
        <v>0.17438061315648223</v>
      </c>
      <c r="EK19" s="6">
        <v>0.15931400871430323</v>
      </c>
      <c r="EL19" s="194">
        <v>0.27456183533810763</v>
      </c>
    </row>
    <row r="20" spans="2:142" x14ac:dyDescent="0.25">
      <c r="B20" s="142" t="s">
        <v>89</v>
      </c>
      <c r="C20" s="290">
        <v>1</v>
      </c>
      <c r="D20" s="143">
        <v>45689</v>
      </c>
      <c r="E20" s="147"/>
      <c r="F20" s="149">
        <v>33.854999542236328</v>
      </c>
      <c r="G20" s="3">
        <v>419.6</v>
      </c>
      <c r="H20" s="25">
        <v>-1633</v>
      </c>
      <c r="I20" s="3">
        <v>992.5</v>
      </c>
      <c r="J20" s="3"/>
      <c r="K20" s="76">
        <v>-640.5</v>
      </c>
      <c r="L20" s="76">
        <v>13565.057807922363</v>
      </c>
      <c r="M20" s="3">
        <v>2182.3989999999999</v>
      </c>
      <c r="N20" s="3">
        <v>2455</v>
      </c>
      <c r="O20" s="3">
        <v>2736.2</v>
      </c>
      <c r="P20" s="3">
        <v>3236.027</v>
      </c>
      <c r="Q20" s="3">
        <v>3800</v>
      </c>
      <c r="R20" s="3">
        <v>4267.3000000000011</v>
      </c>
      <c r="S20" s="3">
        <v>4781.9230000000007</v>
      </c>
      <c r="T20" s="3">
        <v>5335.7805300000018</v>
      </c>
      <c r="U20" s="3">
        <v>5922.7163883000021</v>
      </c>
      <c r="V20" s="21">
        <v>0.8</v>
      </c>
      <c r="W20" s="21">
        <v>0.8</v>
      </c>
      <c r="X20" s="21">
        <v>0.8</v>
      </c>
      <c r="Y20" s="21">
        <v>0.8</v>
      </c>
      <c r="Z20" s="21">
        <v>0.8</v>
      </c>
      <c r="AA20" s="21">
        <v>0.8</v>
      </c>
      <c r="AB20" s="21">
        <v>0.8</v>
      </c>
      <c r="AC20" s="21">
        <v>0.8</v>
      </c>
      <c r="AD20" s="21">
        <v>0.8</v>
      </c>
      <c r="AE20" s="144">
        <v>1745.9192</v>
      </c>
      <c r="AF20" s="144">
        <v>1964</v>
      </c>
      <c r="AG20" s="144">
        <v>2188.96</v>
      </c>
      <c r="AH20" s="144">
        <v>2588.8216000000002</v>
      </c>
      <c r="AI20" s="144">
        <v>3040</v>
      </c>
      <c r="AJ20" s="144">
        <v>3413.8400000000011</v>
      </c>
      <c r="AK20" s="144">
        <v>3825.5384000000008</v>
      </c>
      <c r="AL20" s="144">
        <v>4268.6244240000015</v>
      </c>
      <c r="AM20" s="144">
        <v>4738.1731106400021</v>
      </c>
      <c r="AN20" s="11">
        <v>1.2726523059594916</v>
      </c>
      <c r="AO20" s="11">
        <v>1.2241336937822562</v>
      </c>
      <c r="AP20" s="11">
        <v>0.74254940559257854</v>
      </c>
      <c r="AQ20" s="11">
        <v>0.82941960038059004</v>
      </c>
      <c r="AR20" s="11">
        <v>1.1224162143051402</v>
      </c>
      <c r="AS20" s="11">
        <v>1.7627063495876765</v>
      </c>
      <c r="AT20" s="11">
        <v>2.5071929283650225</v>
      </c>
      <c r="AU20" s="11">
        <v>3.3694003510672053</v>
      </c>
      <c r="AV20" s="11">
        <v>4.3626188759444062</v>
      </c>
      <c r="AW20" s="75">
        <v>1.2726523059594916</v>
      </c>
      <c r="AX20" s="75">
        <v>1.2241336937822562</v>
      </c>
      <c r="AY20" s="75">
        <v>0.74254940559257854</v>
      </c>
      <c r="AZ20" s="75">
        <v>0.82941960038059004</v>
      </c>
      <c r="BA20" s="75">
        <v>1.1224162143051402</v>
      </c>
      <c r="BB20" s="75">
        <v>1.7627063495876765</v>
      </c>
      <c r="BC20" s="75">
        <v>2.5071929283650225</v>
      </c>
      <c r="BD20" s="75">
        <v>3.3694003510672053</v>
      </c>
      <c r="BE20" s="75">
        <v>4.3626188759444062</v>
      </c>
      <c r="BF20" s="5">
        <v>4.9576265652811795</v>
      </c>
      <c r="BG20" s="5">
        <v>4.1918864731111212</v>
      </c>
      <c r="BH20" s="5">
        <v>3.5697520547164112</v>
      </c>
      <c r="BI20" s="5">
        <v>3.1788385648823283</v>
      </c>
      <c r="BJ20" s="5">
        <v>2.8367369796465485</v>
      </c>
      <c r="BK20" s="5">
        <v>2.542281814563756</v>
      </c>
      <c r="BL20" s="5">
        <v>2.2903439770844645</v>
      </c>
      <c r="BM20" s="5">
        <v>4.4621900683955138</v>
      </c>
      <c r="BN20" s="5">
        <v>3.9735482061029104</v>
      </c>
      <c r="BO20" s="5">
        <v>3.5459212245581853</v>
      </c>
      <c r="BP20" s="5">
        <v>3.1778522682046946</v>
      </c>
      <c r="BQ20" s="5">
        <v>2.8629299713555807</v>
      </c>
      <c r="BR20" s="5">
        <v>30.162607338308199</v>
      </c>
      <c r="BS20" s="5">
        <v>19.206261752081122</v>
      </c>
      <c r="BT20" s="5">
        <v>13.503148943672905</v>
      </c>
      <c r="BU20" s="5">
        <v>10.047781805303512</v>
      </c>
      <c r="BV20" s="5">
        <v>7.7602468849419042</v>
      </c>
      <c r="BW20" s="8">
        <v>30.162607338308199</v>
      </c>
      <c r="BX20" s="5">
        <v>19.206261752081122</v>
      </c>
      <c r="BY20" s="5">
        <v>13.503148943672905</v>
      </c>
      <c r="BZ20" s="5">
        <v>10.047781805303512</v>
      </c>
      <c r="CA20" s="5">
        <v>7.7602468849419042</v>
      </c>
      <c r="CC20" s="12">
        <v>22</v>
      </c>
      <c r="CD20" s="12">
        <v>22</v>
      </c>
      <c r="CE20" s="167">
        <v>22</v>
      </c>
      <c r="CF20" s="82">
        <v>22</v>
      </c>
      <c r="CG20" s="82">
        <v>22</v>
      </c>
      <c r="CH20" s="46"/>
      <c r="CI20" s="46"/>
      <c r="CJ20" s="46"/>
      <c r="CK20" s="46"/>
      <c r="CL20" s="46"/>
      <c r="CM20" s="43">
        <v>38.779539690928885</v>
      </c>
      <c r="CN20" s="43">
        <v>55.158244424030492</v>
      </c>
      <c r="CO20" s="43">
        <v>74.126807723478521</v>
      </c>
      <c r="CP20" s="43">
        <v>95.977615270776937</v>
      </c>
      <c r="CQ20" s="7"/>
      <c r="CR20" s="7"/>
      <c r="CS20" s="7"/>
      <c r="CT20" s="7"/>
      <c r="CU20" s="7"/>
      <c r="CV20" s="7"/>
      <c r="CW20" s="41"/>
      <c r="CX20" s="41"/>
      <c r="CY20" s="41"/>
      <c r="CZ20" s="41"/>
      <c r="DA20" s="19"/>
      <c r="DB20" s="185">
        <v>414.18387141509959</v>
      </c>
      <c r="DC20" s="185">
        <v>401.21458753898139</v>
      </c>
      <c r="DD20" s="185">
        <v>388.58912329887863</v>
      </c>
      <c r="DE20" s="185">
        <v>377.6104587422675</v>
      </c>
      <c r="DF20" s="185">
        <v>368.06379391043174</v>
      </c>
      <c r="DG20" s="40"/>
      <c r="DH20" s="40"/>
      <c r="DI20" s="40"/>
      <c r="DJ20" s="40"/>
      <c r="DK20" s="40"/>
      <c r="DL20" s="7"/>
      <c r="DM20" s="7"/>
      <c r="DN20" s="244">
        <v>0</v>
      </c>
      <c r="DO20" s="244">
        <v>0</v>
      </c>
      <c r="DP20" s="244">
        <v>0</v>
      </c>
      <c r="DQ20" s="244">
        <v>0</v>
      </c>
      <c r="DR20" s="244">
        <v>0</v>
      </c>
      <c r="DS20" s="78">
        <v>0.24524569005291652</v>
      </c>
      <c r="DT20" s="78">
        <v>0.35183280691084251</v>
      </c>
      <c r="DU20" s="6">
        <v>0.3487960768762417</v>
      </c>
      <c r="DV20" s="6">
        <v>0.33364859994124929</v>
      </c>
      <c r="DW20" s="171">
        <v>1.1454597611956505</v>
      </c>
      <c r="DX20" s="132">
        <v>1.6292495988728923</v>
      </c>
      <c r="DY20" s="132">
        <v>2.1895379921952287</v>
      </c>
      <c r="DZ20" s="132">
        <v>2.8349613518983681</v>
      </c>
      <c r="EA20" s="78">
        <v>-0.1476586</v>
      </c>
      <c r="EB20" s="6">
        <v>-0.31006719999999999</v>
      </c>
      <c r="EC20" s="194">
        <v>-0.48720080000000004</v>
      </c>
      <c r="ED20" s="363">
        <v>0.11864892171181141</v>
      </c>
      <c r="EE20" s="175">
        <v>0.25196592399887874</v>
      </c>
      <c r="EF20" s="363">
        <v>0.37061484571069014</v>
      </c>
      <c r="EG20" s="6">
        <v>4.0861189035768852E-2</v>
      </c>
      <c r="EH20" s="363">
        <v>0.411476034746459</v>
      </c>
      <c r="EI20" s="6">
        <v>-6.2679957870217295E-2</v>
      </c>
      <c r="EJ20" s="194">
        <v>0.3487960768762417</v>
      </c>
      <c r="EK20" s="6">
        <v>0.11979395950796112</v>
      </c>
      <c r="EL20" s="194">
        <v>0.44255670923168067</v>
      </c>
    </row>
    <row r="21" spans="2:142" x14ac:dyDescent="0.25">
      <c r="B21" s="142" t="s">
        <v>82</v>
      </c>
      <c r="C21" s="290">
        <v>1</v>
      </c>
      <c r="D21" s="143">
        <v>45688</v>
      </c>
      <c r="F21" s="247">
        <v>158.41999816894531</v>
      </c>
      <c r="G21" s="59">
        <v>1169</v>
      </c>
      <c r="H21" s="87">
        <v>-9609</v>
      </c>
      <c r="I21" s="3">
        <v>11446</v>
      </c>
      <c r="K21" s="76">
        <v>1837</v>
      </c>
      <c r="L21" s="89">
        <v>187029.97785949707</v>
      </c>
      <c r="M21" s="3">
        <v>29520</v>
      </c>
      <c r="N21" s="3">
        <v>31207</v>
      </c>
      <c r="O21" s="3">
        <v>34176</v>
      </c>
      <c r="P21" s="3">
        <v>36800</v>
      </c>
      <c r="Q21" s="3">
        <v>40273.14</v>
      </c>
      <c r="R21" s="3">
        <v>45307.1345</v>
      </c>
      <c r="S21" s="3">
        <v>50851.130094</v>
      </c>
      <c r="T21" s="3">
        <v>56381.116424600004</v>
      </c>
      <c r="U21" s="3">
        <v>62355.580072735211</v>
      </c>
      <c r="V21" s="4">
        <v>0.74261517615176154</v>
      </c>
      <c r="W21" s="4">
        <v>0.72429262665427629</v>
      </c>
      <c r="X21" s="4">
        <v>0.7318293539325843</v>
      </c>
      <c r="Y21" s="4">
        <v>0.73764945652173908</v>
      </c>
      <c r="Z21" s="4">
        <v>0.73802709696835178</v>
      </c>
      <c r="AA21" s="4">
        <v>0.73982573399908758</v>
      </c>
      <c r="AB21" s="4">
        <v>0.74211568086993507</v>
      </c>
      <c r="AC21" s="4">
        <v>0.7453321903489627</v>
      </c>
      <c r="AD21" s="4">
        <v>0.74935857697350228</v>
      </c>
      <c r="AE21" s="3">
        <v>21922</v>
      </c>
      <c r="AF21" s="3">
        <v>22603</v>
      </c>
      <c r="AG21" s="3">
        <v>25011</v>
      </c>
      <c r="AH21" s="3">
        <v>27145.5</v>
      </c>
      <c r="AI21" s="3">
        <v>29722.668600000005</v>
      </c>
      <c r="AJ21" s="3">
        <v>33519.384036857882</v>
      </c>
      <c r="AK21" s="3">
        <v>37737.421032714454</v>
      </c>
      <c r="AL21" s="3">
        <v>42022.660999066997</v>
      </c>
      <c r="AM21" s="3">
        <v>46726.688749662135</v>
      </c>
      <c r="AN21" s="223">
        <v>4.0161702127659575</v>
      </c>
      <c r="AO21" s="223">
        <v>3.6754237288135592</v>
      </c>
      <c r="AP21" s="223">
        <v>4.4796610169491524</v>
      </c>
      <c r="AQ21" s="223">
        <v>6.0991489361702129</v>
      </c>
      <c r="AR21" s="223">
        <v>7.1545717182091444</v>
      </c>
      <c r="AS21" s="223">
        <v>8.5750357339995453</v>
      </c>
      <c r="AT21" s="223">
        <v>10.465866482766273</v>
      </c>
      <c r="AU21" s="223">
        <v>12.432472627336123</v>
      </c>
      <c r="AV21" s="223">
        <v>14.872586727709393</v>
      </c>
      <c r="AW21" s="224">
        <v>4.0161702127659575</v>
      </c>
      <c r="AX21" s="224">
        <v>3.6754237288135592</v>
      </c>
      <c r="AY21" s="224">
        <v>4.4796610169491524</v>
      </c>
      <c r="AZ21" s="224">
        <v>6.0991489361702129</v>
      </c>
      <c r="BA21" s="224">
        <v>7.1545717182091444</v>
      </c>
      <c r="BB21" s="224">
        <v>8.5750357339995453</v>
      </c>
      <c r="BC21" s="224">
        <v>10.465866482766273</v>
      </c>
      <c r="BD21" s="224">
        <v>12.432472627336123</v>
      </c>
      <c r="BE21" s="224">
        <v>14.872586727709393</v>
      </c>
      <c r="BF21" s="5">
        <v>5.472553191113561</v>
      </c>
      <c r="BG21" s="5">
        <v>5.0823363548776381</v>
      </c>
      <c r="BH21" s="5">
        <v>4.6440376354934596</v>
      </c>
      <c r="BI21" s="5">
        <v>4.1280469383800265</v>
      </c>
      <c r="BJ21" s="5">
        <v>3.677990587697185</v>
      </c>
      <c r="BK21" s="5">
        <v>3.3172450231562429</v>
      </c>
      <c r="BL21" s="5">
        <v>2.9994104399531576</v>
      </c>
      <c r="BM21" s="5">
        <v>6.2925028831192176</v>
      </c>
      <c r="BN21" s="5">
        <v>5.5797558109611769</v>
      </c>
      <c r="BO21" s="5">
        <v>4.9560879557021496</v>
      </c>
      <c r="BP21" s="5">
        <v>4.4506933500391508</v>
      </c>
      <c r="BQ21" s="5">
        <v>4.0026370980727677</v>
      </c>
      <c r="BR21" s="5">
        <v>22.142485170111524</v>
      </c>
      <c r="BS21" s="5">
        <v>18.474558367240235</v>
      </c>
      <c r="BT21" s="5">
        <v>15.136825835663892</v>
      </c>
      <c r="BU21" s="5">
        <v>12.742436916419706</v>
      </c>
      <c r="BV21" s="5">
        <v>10.651812026336351</v>
      </c>
      <c r="BW21" s="8">
        <v>22.142485170111524</v>
      </c>
      <c r="BX21" s="5">
        <v>18.474558367240235</v>
      </c>
      <c r="BY21" s="5">
        <v>15.136825835663892</v>
      </c>
      <c r="BZ21" s="5">
        <v>12.742436916419706</v>
      </c>
      <c r="CA21" s="5">
        <v>10.651812026336351</v>
      </c>
      <c r="CC21" s="12">
        <v>22</v>
      </c>
      <c r="CD21" s="12">
        <v>22</v>
      </c>
      <c r="CE21" s="168">
        <v>22</v>
      </c>
      <c r="CF21" s="82">
        <v>22</v>
      </c>
      <c r="CG21" s="12">
        <v>24</v>
      </c>
      <c r="CH21" s="46"/>
      <c r="CI21" s="46"/>
      <c r="CJ21" s="46"/>
      <c r="CK21" s="46"/>
      <c r="CL21" s="46"/>
      <c r="CM21" s="43">
        <v>188.65078614799</v>
      </c>
      <c r="CN21" s="43">
        <v>230.24906262085801</v>
      </c>
      <c r="CO21" s="43">
        <v>273.51439780139469</v>
      </c>
      <c r="CP21" s="43">
        <v>327.19690800960666</v>
      </c>
      <c r="CQ21" s="7"/>
      <c r="CR21" s="7"/>
      <c r="CS21" s="7"/>
      <c r="CT21" s="7"/>
      <c r="CU21" s="7"/>
      <c r="CV21" s="7"/>
      <c r="CW21" s="101">
        <v>220789.27827819853</v>
      </c>
      <c r="CX21" s="101">
        <v>263601.11780320387</v>
      </c>
      <c r="CY21" s="101">
        <v>305681.9658041806</v>
      </c>
      <c r="CZ21" s="101">
        <v>356154.29075774428</v>
      </c>
      <c r="DA21" s="19"/>
      <c r="DB21" s="40">
        <v>1160.6221354754284</v>
      </c>
      <c r="DC21" s="40">
        <v>1136.8737610638636</v>
      </c>
      <c r="DD21" s="40">
        <v>1110.8920343740356</v>
      </c>
      <c r="DE21" s="40">
        <v>1082.8870386126673</v>
      </c>
      <c r="DF21" s="40">
        <v>1053.2432391937741</v>
      </c>
      <c r="DG21" s="41">
        <v>1837</v>
      </c>
      <c r="DH21" s="41">
        <v>1837</v>
      </c>
      <c r="DI21" s="41">
        <v>1837</v>
      </c>
      <c r="DJ21" s="41">
        <v>1837</v>
      </c>
      <c r="DK21" s="101">
        <v>1837</v>
      </c>
      <c r="DL21" s="7"/>
      <c r="DM21" s="7"/>
      <c r="DN21" s="85">
        <v>2.861828687283658</v>
      </c>
      <c r="DO21" s="85">
        <v>3.4300142935998186</v>
      </c>
      <c r="DP21" s="85">
        <v>4.1863465931065091</v>
      </c>
      <c r="DQ21" s="85">
        <v>4.9729890509344497</v>
      </c>
      <c r="DR21" s="85">
        <v>5.9490346910837575</v>
      </c>
      <c r="DS21" s="78">
        <v>0.34603502172181333</v>
      </c>
      <c r="DT21" s="78">
        <v>0.27727001070917767</v>
      </c>
      <c r="DU21" s="6">
        <v>0.24780693566949408</v>
      </c>
      <c r="DV21" s="6">
        <v>0.23649041948470484</v>
      </c>
      <c r="DW21" s="171">
        <v>1.2088916617145589</v>
      </c>
      <c r="DX21" s="132">
        <v>1.4931252893304856</v>
      </c>
      <c r="DY21" s="132">
        <v>1.7926561713030942</v>
      </c>
      <c r="DZ21" s="132">
        <v>2.1629092955115286</v>
      </c>
      <c r="EA21" s="78">
        <v>1.4080870000000001E-2</v>
      </c>
      <c r="EB21" s="6">
        <v>-7.2039389999999995E-2</v>
      </c>
      <c r="EC21" s="194">
        <v>-0.22900239999999999</v>
      </c>
      <c r="ED21" s="363">
        <v>0.11706119516668645</v>
      </c>
      <c r="EE21" s="175">
        <v>5.6450039104270378E-2</v>
      </c>
      <c r="EF21" s="363">
        <v>0.17351123427095683</v>
      </c>
      <c r="EG21" s="6">
        <v>5.1508786745922852E-2</v>
      </c>
      <c r="EH21" s="363">
        <v>0.22502002101687968</v>
      </c>
      <c r="EI21" s="6">
        <v>2.2786914652614398E-2</v>
      </c>
      <c r="EJ21" s="194">
        <v>0.24780693566949408</v>
      </c>
      <c r="EK21" s="6">
        <v>0.12235931888292328</v>
      </c>
      <c r="EL21" s="194">
        <v>0.2022403230689418</v>
      </c>
    </row>
    <row r="22" spans="2:142" x14ac:dyDescent="0.25">
      <c r="B22" s="142" t="s">
        <v>41</v>
      </c>
      <c r="C22" s="290">
        <v>1</v>
      </c>
      <c r="D22" s="143">
        <v>45995</v>
      </c>
      <c r="F22" s="149">
        <v>589.3599853515625</v>
      </c>
      <c r="G22" s="25">
        <v>73.400000000000006</v>
      </c>
      <c r="H22" s="25">
        <v>-385.3</v>
      </c>
      <c r="I22" s="2">
        <v>6403.8</v>
      </c>
      <c r="K22" s="76">
        <v>6018.5</v>
      </c>
      <c r="L22" s="89">
        <v>49277.522924804689</v>
      </c>
      <c r="M22" s="3">
        <v>2248.598</v>
      </c>
      <c r="N22" s="3">
        <v>2528.92</v>
      </c>
      <c r="O22" s="3">
        <v>2856.1280000000002</v>
      </c>
      <c r="P22" s="3">
        <v>3134.4589999999998</v>
      </c>
      <c r="Q22" s="3">
        <v>3521.8780666409402</v>
      </c>
      <c r="R22" s="3">
        <v>3909.2528352707986</v>
      </c>
      <c r="S22" s="3">
        <v>4325.7772625407351</v>
      </c>
      <c r="T22" s="3">
        <v>4796.6951942582282</v>
      </c>
      <c r="U22" s="3">
        <v>5311.7210425429166</v>
      </c>
      <c r="V22" s="21">
        <v>0.82</v>
      </c>
      <c r="W22" s="21">
        <v>0.82</v>
      </c>
      <c r="X22" s="21">
        <v>0.82</v>
      </c>
      <c r="Y22" s="21">
        <v>0.82</v>
      </c>
      <c r="Z22" s="21">
        <v>0.82</v>
      </c>
      <c r="AA22" s="21">
        <v>0.82</v>
      </c>
      <c r="AB22" s="21">
        <v>0.82</v>
      </c>
      <c r="AC22" s="21">
        <v>0.82</v>
      </c>
      <c r="AD22" s="21">
        <v>0.82</v>
      </c>
      <c r="AE22" s="144">
        <v>1843.8503599999999</v>
      </c>
      <c r="AF22" s="144">
        <v>2073.7143999999998</v>
      </c>
      <c r="AG22" s="144">
        <v>2342.0249600000002</v>
      </c>
      <c r="AH22" s="144">
        <v>2570.2563799999998</v>
      </c>
      <c r="AI22" s="144">
        <v>2887.940014645571</v>
      </c>
      <c r="AJ22" s="144">
        <v>3205.5873249220549</v>
      </c>
      <c r="AK22" s="144">
        <v>3547.1373552834025</v>
      </c>
      <c r="AL22" s="144">
        <v>3933.2900592917467</v>
      </c>
      <c r="AM22" s="144">
        <v>4355.6112548851916</v>
      </c>
      <c r="AN22" s="11">
        <v>11.454571199901498</v>
      </c>
      <c r="AO22" s="11">
        <v>13.519832671618046</v>
      </c>
      <c r="AP22" s="11">
        <v>15.2008358662614</v>
      </c>
      <c r="AQ22" s="11">
        <v>17.283991857612609</v>
      </c>
      <c r="AR22" s="11">
        <v>20.298700910477642</v>
      </c>
      <c r="AS22" s="11">
        <v>23.825327060676493</v>
      </c>
      <c r="AT22" s="11">
        <v>27.806702027207344</v>
      </c>
      <c r="AU22" s="11">
        <v>32.506075611867296</v>
      </c>
      <c r="AV22" s="11">
        <v>37.877281451960791</v>
      </c>
      <c r="AW22" s="145">
        <v>11.454571199901498</v>
      </c>
      <c r="AX22" s="145">
        <v>13.519832671618046</v>
      </c>
      <c r="AY22" s="145">
        <v>15.2008358662614</v>
      </c>
      <c r="AZ22" s="145">
        <v>17.283991857612609</v>
      </c>
      <c r="BA22" s="145">
        <v>20.298700910477642</v>
      </c>
      <c r="BB22" s="145">
        <v>23.825327060676493</v>
      </c>
      <c r="BC22" s="145">
        <v>27.806702027207344</v>
      </c>
      <c r="BD22" s="145">
        <v>32.506075611867296</v>
      </c>
      <c r="BE22" s="145">
        <v>37.877281451960791</v>
      </c>
      <c r="BF22" s="5">
        <v>17.25326138212457</v>
      </c>
      <c r="BG22" s="5">
        <v>15.721221086255936</v>
      </c>
      <c r="BH22" s="5">
        <v>13.991831060694297</v>
      </c>
      <c r="BI22" s="5">
        <v>12.605355806153986</v>
      </c>
      <c r="BJ22" s="5">
        <v>11.391599690424572</v>
      </c>
      <c r="BK22" s="5">
        <v>10.273223736165516</v>
      </c>
      <c r="BL22" s="5">
        <v>9.27712930143141</v>
      </c>
      <c r="BM22" s="5">
        <v>17.063208610602803</v>
      </c>
      <c r="BN22" s="5">
        <v>15.372385129456079</v>
      </c>
      <c r="BO22" s="5">
        <v>13.892194744420211</v>
      </c>
      <c r="BP22" s="5">
        <v>12.528321629470142</v>
      </c>
      <c r="BQ22" s="5">
        <v>11.313572318818792</v>
      </c>
      <c r="BR22" s="5">
        <v>29.034369635317439</v>
      </c>
      <c r="BS22" s="5">
        <v>24.736700732402383</v>
      </c>
      <c r="BT22" s="5">
        <v>21.194889806597914</v>
      </c>
      <c r="BU22" s="5">
        <v>18.130763995897411</v>
      </c>
      <c r="BV22" s="5">
        <v>15.559722418279655</v>
      </c>
      <c r="BW22" s="8">
        <v>29.034369635317439</v>
      </c>
      <c r="BX22" s="5">
        <v>24.736700732402383</v>
      </c>
      <c r="BY22" s="5">
        <v>21.194889806597914</v>
      </c>
      <c r="BZ22" s="5">
        <v>18.130763995897411</v>
      </c>
      <c r="CA22" s="5">
        <v>15.559722418279655</v>
      </c>
      <c r="CB22" t="s">
        <v>31</v>
      </c>
      <c r="CC22" s="12">
        <v>27</v>
      </c>
      <c r="CD22" s="12">
        <v>27</v>
      </c>
      <c r="CE22" s="167">
        <v>27</v>
      </c>
      <c r="CF22" s="12">
        <v>27</v>
      </c>
      <c r="CG22" s="82">
        <v>27</v>
      </c>
      <c r="CH22" s="46"/>
      <c r="CI22" s="46"/>
      <c r="CJ22" s="46"/>
      <c r="CK22" s="46"/>
      <c r="CL22" s="46"/>
      <c r="CM22" s="43">
        <v>643.28383063826527</v>
      </c>
      <c r="CN22" s="43">
        <v>750.78095473459825</v>
      </c>
      <c r="CO22" s="43">
        <v>877.66404152041696</v>
      </c>
      <c r="CP22" s="43">
        <v>1022.6865992029414</v>
      </c>
      <c r="CQ22" s="7"/>
      <c r="CR22" s="7"/>
      <c r="CS22" s="7"/>
      <c r="CT22" s="7"/>
      <c r="CU22" s="7"/>
      <c r="CV22" s="7"/>
      <c r="CW22" s="19"/>
      <c r="CX22" s="19"/>
      <c r="CY22" s="19"/>
      <c r="CZ22" s="19"/>
      <c r="DA22" s="19"/>
      <c r="DB22" s="60">
        <v>73.579139850055498</v>
      </c>
      <c r="DC22" s="60">
        <v>71.114173513098464</v>
      </c>
      <c r="DD22" s="60">
        <v>68.477416346339652</v>
      </c>
      <c r="DE22" s="60">
        <v>65.921357809964348</v>
      </c>
      <c r="DF22" s="60">
        <v>63.434976870744357</v>
      </c>
      <c r="DG22" s="40"/>
      <c r="DH22" s="40"/>
      <c r="DI22" s="40"/>
      <c r="DJ22" s="40"/>
      <c r="DK22" s="40"/>
      <c r="DL22" s="7"/>
      <c r="DM22" s="7"/>
      <c r="DN22" s="7">
        <v>8.1999999999999993</v>
      </c>
      <c r="DO22" s="7">
        <v>9.6246396633542055</v>
      </c>
      <c r="DP22" s="7">
        <v>11.232982722820703</v>
      </c>
      <c r="DQ22" s="7">
        <v>13.131373342208613</v>
      </c>
      <c r="DR22" s="7">
        <v>15.301161846557303</v>
      </c>
      <c r="DS22" s="78">
        <v>0.16659861142305221</v>
      </c>
      <c r="DT22" s="78">
        <v>0.17525241012406245</v>
      </c>
      <c r="DU22" s="6">
        <v>0.17722652311093978</v>
      </c>
      <c r="DV22" s="6">
        <v>0.17661828565001003</v>
      </c>
      <c r="DW22" s="171">
        <v>1.1054089976088977</v>
      </c>
      <c r="DX22" s="132">
        <v>1.3041360348539224</v>
      </c>
      <c r="DY22" s="132">
        <v>1.5384852830918239</v>
      </c>
      <c r="DZ22" s="132">
        <v>1.8068338899800092</v>
      </c>
      <c r="EA22" s="78">
        <v>3.66019E-2</v>
      </c>
      <c r="EB22" s="6">
        <v>8.9148440000000009E-2</v>
      </c>
      <c r="EC22" s="194">
        <v>5.3199610000000001E-2</v>
      </c>
      <c r="ED22" s="363">
        <v>0.10769772398320487</v>
      </c>
      <c r="EE22" s="175">
        <v>1.8400271273495417E-2</v>
      </c>
      <c r="EF22" s="363">
        <v>0.12609799525670029</v>
      </c>
      <c r="EG22" s="6">
        <v>5.962590549899191E-2</v>
      </c>
      <c r="EH22" s="363">
        <v>0.1857239007556922</v>
      </c>
      <c r="EI22" s="6">
        <v>-8.4973776447524185E-3</v>
      </c>
      <c r="EJ22" s="194">
        <v>0.17722652311093978</v>
      </c>
      <c r="EK22" s="6">
        <v>0.10846657567527629</v>
      </c>
      <c r="EL22" s="194">
        <v>0.16994496367415612</v>
      </c>
    </row>
    <row r="23" spans="2:142" x14ac:dyDescent="0.25">
      <c r="B23" s="142" t="s">
        <v>86</v>
      </c>
      <c r="C23" s="290">
        <v>1</v>
      </c>
      <c r="D23" s="143">
        <v>45689</v>
      </c>
      <c r="E23" s="147"/>
      <c r="F23" s="149">
        <v>163.57499694824219</v>
      </c>
      <c r="G23" s="3">
        <v>125.1</v>
      </c>
      <c r="H23" s="25">
        <v>-169.9</v>
      </c>
      <c r="I23" s="3">
        <v>5010.5</v>
      </c>
      <c r="J23" s="3">
        <v>17.5</v>
      </c>
      <c r="K23" s="76">
        <v>4840.6000000000004</v>
      </c>
      <c r="L23" s="76">
        <v>25321.332118225095</v>
      </c>
      <c r="M23" s="3">
        <v>5122.2000000000007</v>
      </c>
      <c r="N23" s="3">
        <v>5265.2000000000007</v>
      </c>
      <c r="O23" s="3">
        <v>5681.1</v>
      </c>
      <c r="P23" s="3">
        <v>6058.8156586499999</v>
      </c>
      <c r="Q23" s="3">
        <v>6592.0376268628943</v>
      </c>
      <c r="R23" s="3">
        <v>7271.8068781248749</v>
      </c>
      <c r="S23" s="3">
        <v>8040.8757732001868</v>
      </c>
      <c r="T23" s="3">
        <v>8913.6000494804575</v>
      </c>
      <c r="U23" s="3">
        <v>9907.0217768565199</v>
      </c>
      <c r="V23" s="21">
        <v>0.6</v>
      </c>
      <c r="W23" s="21">
        <v>0.6</v>
      </c>
      <c r="X23" s="21">
        <v>0.6</v>
      </c>
      <c r="Y23" s="21">
        <v>0.6</v>
      </c>
      <c r="Z23" s="21">
        <v>0.6</v>
      </c>
      <c r="AA23" s="21">
        <v>0.6</v>
      </c>
      <c r="AB23" s="21">
        <v>0.6</v>
      </c>
      <c r="AC23" s="21">
        <v>0.6</v>
      </c>
      <c r="AD23" s="21">
        <v>0.6</v>
      </c>
      <c r="AE23" s="144">
        <v>3073.32</v>
      </c>
      <c r="AF23" s="144">
        <v>3159.1200000000003</v>
      </c>
      <c r="AG23" s="144">
        <v>3408.6600000000003</v>
      </c>
      <c r="AH23" s="144">
        <v>3635.2893951900001</v>
      </c>
      <c r="AI23" s="144">
        <v>3955.2225761177365</v>
      </c>
      <c r="AJ23" s="144">
        <v>4363.0841268749246</v>
      </c>
      <c r="AK23" s="144">
        <v>4824.5254639201121</v>
      </c>
      <c r="AL23" s="144">
        <v>5348.1600296882743</v>
      </c>
      <c r="AM23" s="144">
        <v>5944.2130661139117</v>
      </c>
      <c r="AN23" s="11">
        <v>7.5636658556366578</v>
      </c>
      <c r="AO23" s="11">
        <v>6.7110573042776425</v>
      </c>
      <c r="AP23" s="11">
        <v>7.2866293034427541</v>
      </c>
      <c r="AQ23" s="11">
        <v>7.6486704270749399</v>
      </c>
      <c r="AR23" s="11">
        <v>9.2053868346021979</v>
      </c>
      <c r="AS23" s="11">
        <v>11.430042109174135</v>
      </c>
      <c r="AT23" s="11">
        <v>14.091333044540251</v>
      </c>
      <c r="AU23" s="11">
        <v>17.431749859939128</v>
      </c>
      <c r="AV23" s="11">
        <v>21.468126656839669</v>
      </c>
      <c r="AW23" s="75">
        <v>7.5636658556366578</v>
      </c>
      <c r="AX23" s="75">
        <v>6.7110573042776425</v>
      </c>
      <c r="AY23" s="75">
        <v>7.2866293034427541</v>
      </c>
      <c r="AZ23" s="75">
        <v>7.6486704270749399</v>
      </c>
      <c r="BA23" s="75">
        <v>9.2053868346021979</v>
      </c>
      <c r="BB23" s="75">
        <v>11.430042109174135</v>
      </c>
      <c r="BC23" s="75">
        <v>14.091333044540251</v>
      </c>
      <c r="BD23" s="75">
        <v>17.431749859939128</v>
      </c>
      <c r="BE23" s="75">
        <v>21.468126656839669</v>
      </c>
      <c r="BF23" s="5">
        <v>4.4571178325016447</v>
      </c>
      <c r="BG23" s="5">
        <v>4.1792544194795802</v>
      </c>
      <c r="BH23" s="5">
        <v>3.8411995731091335</v>
      </c>
      <c r="BI23" s="5">
        <v>3.4821238438546809</v>
      </c>
      <c r="BJ23" s="5">
        <v>3.1490763981977876</v>
      </c>
      <c r="BK23" s="5">
        <v>2.8407525553831627</v>
      </c>
      <c r="BL23" s="5">
        <v>2.555897492562039</v>
      </c>
      <c r="BM23" s="5">
        <v>6.4019992885152224</v>
      </c>
      <c r="BN23" s="5">
        <v>5.8035397397578015</v>
      </c>
      <c r="BO23" s="5">
        <v>5.2484606636629794</v>
      </c>
      <c r="BP23" s="5">
        <v>4.7345875923052709</v>
      </c>
      <c r="BQ23" s="5">
        <v>4.259829154270065</v>
      </c>
      <c r="BR23" s="5">
        <v>17.7694864851718</v>
      </c>
      <c r="BS23" s="5">
        <v>14.310970632116168</v>
      </c>
      <c r="BT23" s="5">
        <v>11.608198914269508</v>
      </c>
      <c r="BU23" s="5">
        <v>9.3837393412902834</v>
      </c>
      <c r="BV23" s="5">
        <v>7.6194350612389261</v>
      </c>
      <c r="BW23" s="8">
        <v>17.7694864851718</v>
      </c>
      <c r="BX23" s="5">
        <v>14.310970632116168</v>
      </c>
      <c r="BY23" s="5">
        <v>11.608198914269508</v>
      </c>
      <c r="BZ23" s="5">
        <v>9.3837393412902834</v>
      </c>
      <c r="CA23" s="5">
        <v>7.6194350612389261</v>
      </c>
      <c r="CC23" s="12">
        <v>20</v>
      </c>
      <c r="CD23" s="12">
        <v>20</v>
      </c>
      <c r="CE23" s="287">
        <v>20</v>
      </c>
      <c r="CF23" s="12">
        <v>20</v>
      </c>
      <c r="CG23" s="12">
        <v>20</v>
      </c>
      <c r="CH23" s="46"/>
      <c r="CI23" s="46"/>
      <c r="CJ23" s="46"/>
      <c r="CK23" s="46"/>
      <c r="CL23" s="46"/>
      <c r="CM23" s="43">
        <v>228.60084218348271</v>
      </c>
      <c r="CN23" s="43">
        <v>281.82666089080504</v>
      </c>
      <c r="CO23" s="43">
        <v>348.63499719878257</v>
      </c>
      <c r="CP23" s="43">
        <v>429.36253313679339</v>
      </c>
      <c r="CQ23" s="7"/>
      <c r="CR23" s="7"/>
      <c r="CS23" s="7"/>
      <c r="CT23" s="7"/>
      <c r="CU23" s="7"/>
      <c r="CV23" s="7"/>
      <c r="CW23" s="41"/>
      <c r="CX23" s="41"/>
      <c r="CY23" s="41"/>
      <c r="CZ23" s="41"/>
      <c r="DA23" s="19"/>
      <c r="DB23" s="185">
        <v>119.58966260857466</v>
      </c>
      <c r="DC23" s="185">
        <v>113.88803836725509</v>
      </c>
      <c r="DD23" s="185">
        <v>107.73848287094648</v>
      </c>
      <c r="DE23" s="185">
        <v>101.3771504295417</v>
      </c>
      <c r="DF23" s="185">
        <v>94.919031815973767</v>
      </c>
      <c r="DG23" s="40"/>
      <c r="DH23" s="40"/>
      <c r="DI23" s="40"/>
      <c r="DJ23" s="40"/>
      <c r="DK23" s="40"/>
      <c r="DL23" s="7"/>
      <c r="DM23" s="7"/>
      <c r="DN23" s="7">
        <v>1.9697018533440775</v>
      </c>
      <c r="DO23" s="7">
        <v>2.0681869460112816</v>
      </c>
      <c r="DP23" s="7">
        <v>2.171596293311846</v>
      </c>
      <c r="DQ23" s="7">
        <v>2.2801761079774385</v>
      </c>
      <c r="DR23" s="7">
        <v>2.3941849133763107</v>
      </c>
      <c r="DS23" s="78">
        <v>0.73179457441440232</v>
      </c>
      <c r="DT23" s="78">
        <v>0.40937851385318003</v>
      </c>
      <c r="DU23" s="6">
        <v>0.34293887094106812</v>
      </c>
      <c r="DV23" s="6">
        <v>0.31203540083958514</v>
      </c>
      <c r="DW23" s="171">
        <v>1.409570828907202</v>
      </c>
      <c r="DX23" s="132">
        <v>1.7476054105054493</v>
      </c>
      <c r="DY23" s="132">
        <v>2.1693075892505038</v>
      </c>
      <c r="DZ23" s="132">
        <v>2.6767672474784248</v>
      </c>
      <c r="EA23" s="78">
        <v>-0.1663694</v>
      </c>
      <c r="EB23" s="6">
        <v>-0.16244240000000001</v>
      </c>
      <c r="EC23" s="194">
        <v>-0.20694749999999998</v>
      </c>
      <c r="ED23" s="363">
        <v>0.1057107718752528</v>
      </c>
      <c r="EE23" s="175">
        <v>6.200623219207313E-2</v>
      </c>
      <c r="EF23" s="363">
        <v>0.16771700406732593</v>
      </c>
      <c r="EG23" s="6">
        <v>7.9126238320714221E-2</v>
      </c>
      <c r="EH23" s="363">
        <v>0.24684324238804015</v>
      </c>
      <c r="EI23" s="6">
        <v>9.6095628553027973E-2</v>
      </c>
      <c r="EJ23" s="194">
        <v>0.34293887094106812</v>
      </c>
      <c r="EK23" s="6">
        <v>0.10580314804052016</v>
      </c>
      <c r="EL23" s="194">
        <v>0.23718025624989103</v>
      </c>
    </row>
    <row r="24" spans="2:142" x14ac:dyDescent="0.25">
      <c r="B24" s="142" t="s">
        <v>18</v>
      </c>
      <c r="C24" s="290">
        <v>1</v>
      </c>
      <c r="D24" s="143">
        <v>45991</v>
      </c>
      <c r="F24" s="149">
        <v>132.07499694824219</v>
      </c>
      <c r="G24" s="39">
        <v>263.411</v>
      </c>
      <c r="H24" s="25">
        <v>-8017</v>
      </c>
      <c r="I24" s="2">
        <v>2984</v>
      </c>
      <c r="K24" s="76">
        <v>-5033</v>
      </c>
      <c r="L24" s="76">
        <v>29757.007021133424</v>
      </c>
      <c r="M24" s="3">
        <v>6215.8180000000002</v>
      </c>
      <c r="N24" s="3">
        <v>7258.7529999999997</v>
      </c>
      <c r="O24" s="3">
        <v>8446</v>
      </c>
      <c r="P24" s="3">
        <v>9552</v>
      </c>
      <c r="Q24" s="3">
        <v>10723.337173472532</v>
      </c>
      <c r="R24" s="3">
        <v>11959.266078079638</v>
      </c>
      <c r="S24" s="3">
        <v>13226.359620127845</v>
      </c>
      <c r="T24" s="3">
        <v>14542.970161682069</v>
      </c>
      <c r="U24" s="3">
        <v>15876.670783480509</v>
      </c>
      <c r="V24" s="4">
        <v>0.76955631583807638</v>
      </c>
      <c r="W24" s="4">
        <v>0.79683535174705644</v>
      </c>
      <c r="X24" s="4">
        <v>0.78886877811982004</v>
      </c>
      <c r="Y24" s="4">
        <v>0.79169571293969843</v>
      </c>
      <c r="Z24" s="4">
        <v>0.80060816675534041</v>
      </c>
      <c r="AA24" s="4">
        <v>0.80656338337168187</v>
      </c>
      <c r="AB24" s="4">
        <v>0.81225976229958108</v>
      </c>
      <c r="AC24" s="4">
        <v>0.81644820955247521</v>
      </c>
      <c r="AD24" s="4">
        <v>0.82046165680536953</v>
      </c>
      <c r="AE24" s="3">
        <v>4783.4220000000005</v>
      </c>
      <c r="AF24" s="3">
        <v>5784.0310000000009</v>
      </c>
      <c r="AG24" s="3">
        <v>6662.7857000000004</v>
      </c>
      <c r="AH24" s="3">
        <v>7562.2774499999996</v>
      </c>
      <c r="AI24" s="3">
        <v>8585.1913159532378</v>
      </c>
      <c r="AJ24" s="3">
        <v>9645.9061105780966</v>
      </c>
      <c r="AK24" s="3">
        <v>10743.239721133821</v>
      </c>
      <c r="AL24" s="3">
        <v>11873.581950080397</v>
      </c>
      <c r="AM24" s="3">
        <v>13026.199615567823</v>
      </c>
      <c r="AN24" s="11"/>
      <c r="AO24" s="11">
        <v>5.6577043245670042</v>
      </c>
      <c r="AP24" s="11">
        <v>7.1343200424112165</v>
      </c>
      <c r="AQ24" s="11">
        <v>9.0770109223297197</v>
      </c>
      <c r="AR24" s="11">
        <v>10.410325434006873</v>
      </c>
      <c r="AS24" s="11">
        <v>13.111933868471581</v>
      </c>
      <c r="AT24" s="11">
        <v>15.687176424171058</v>
      </c>
      <c r="AU24" s="11">
        <v>18.590368689046578</v>
      </c>
      <c r="AV24" s="11">
        <v>21.987372774054766</v>
      </c>
      <c r="AW24" s="11"/>
      <c r="AX24" s="11">
        <v>1.3596545124511383</v>
      </c>
      <c r="AY24" s="11">
        <v>2.6061783689527882</v>
      </c>
      <c r="AZ24" s="18">
        <v>4.2675467582387334</v>
      </c>
      <c r="BA24" s="18">
        <v>5.5610566438695406</v>
      </c>
      <c r="BB24" s="18">
        <v>7.7961783210296796</v>
      </c>
      <c r="BC24" s="18">
        <v>9.9297271943992715</v>
      </c>
      <c r="BD24" s="18">
        <v>12.341412845554347</v>
      </c>
      <c r="BE24" s="18">
        <v>15.251910388180491</v>
      </c>
      <c r="BF24" s="5">
        <v>3.5232070827768678</v>
      </c>
      <c r="BG24" s="5">
        <v>3.1152645541387587</v>
      </c>
      <c r="BH24" s="5">
        <v>2.7749763473582201</v>
      </c>
      <c r="BI24" s="5">
        <v>2.4881967527819788</v>
      </c>
      <c r="BJ24" s="5">
        <v>2.2498259442340638</v>
      </c>
      <c r="BK24" s="5">
        <v>2.0461437168823613</v>
      </c>
      <c r="BL24" s="5">
        <v>1.8742598764531442</v>
      </c>
      <c r="BM24" s="5">
        <v>3.4660854867425188</v>
      </c>
      <c r="BN24" s="5">
        <v>3.0849364155121384</v>
      </c>
      <c r="BO24" s="5">
        <v>2.7698355238779802</v>
      </c>
      <c r="BP24" s="5">
        <v>2.5061524943559208</v>
      </c>
      <c r="BQ24" s="5">
        <v>2.284396669737069</v>
      </c>
      <c r="BR24" s="5">
        <v>12.686922977143405</v>
      </c>
      <c r="BS24" s="5">
        <v>10.072884615886014</v>
      </c>
      <c r="BT24" s="5">
        <v>8.4192969707881193</v>
      </c>
      <c r="BU24" s="5">
        <v>7.1044850781286879</v>
      </c>
      <c r="BV24" s="5">
        <v>6.0068566765780895</v>
      </c>
      <c r="BW24" s="8">
        <v>23.749982315652275</v>
      </c>
      <c r="BX24" s="5">
        <v>16.94099230541951</v>
      </c>
      <c r="BY24" s="5">
        <v>13.30096933808386</v>
      </c>
      <c r="BZ24" s="5">
        <v>10.701772852191599</v>
      </c>
      <c r="CA24" s="378">
        <v>8.6595707414196497</v>
      </c>
      <c r="CB24" t="s">
        <v>63</v>
      </c>
      <c r="CC24" s="12">
        <v>22</v>
      </c>
      <c r="CD24" s="12">
        <v>22</v>
      </c>
      <c r="CE24" s="168">
        <v>22</v>
      </c>
      <c r="CF24" s="82">
        <v>22</v>
      </c>
      <c r="CG24" s="82">
        <v>20</v>
      </c>
      <c r="CH24" s="46"/>
      <c r="CI24" s="46"/>
      <c r="CJ24" s="46"/>
      <c r="CK24" s="46"/>
      <c r="CL24" s="46"/>
      <c r="CM24" s="43">
        <v>180.93166457170605</v>
      </c>
      <c r="CN24" s="43">
        <v>228.34967875929877</v>
      </c>
      <c r="CO24" s="43">
        <v>281.87397128700422</v>
      </c>
      <c r="CP24" s="43">
        <v>346.4335677345652</v>
      </c>
      <c r="CQ24" s="7"/>
      <c r="CR24" s="7">
        <v>9.4157415090531167</v>
      </c>
      <c r="CS24" s="7">
        <v>9.8956804825147859</v>
      </c>
      <c r="CT24" s="7">
        <v>10.362888684808595</v>
      </c>
      <c r="CU24" s="7">
        <v>10.891539194594367</v>
      </c>
      <c r="CV24" s="7">
        <v>11.486061651712326</v>
      </c>
      <c r="CW24" s="41">
        <v>46054.855109972115</v>
      </c>
      <c r="CX24" s="41">
        <v>57106.681334615001</v>
      </c>
      <c r="CY24" s="41">
        <v>67502.046311632002</v>
      </c>
      <c r="CZ24" s="41">
        <v>79648.601162355088</v>
      </c>
      <c r="DA24" s="101"/>
      <c r="DB24" s="40">
        <v>268.11700000000002</v>
      </c>
      <c r="DC24" s="40">
        <v>260.83978597315854</v>
      </c>
      <c r="DD24" s="40">
        <v>248.1890966810862</v>
      </c>
      <c r="DE24" s="40">
        <v>236.9995543424447</v>
      </c>
      <c r="DF24" s="40">
        <v>225.4961356810752</v>
      </c>
      <c r="DG24" s="40">
        <v>-2456</v>
      </c>
      <c r="DH24" s="40">
        <v>-2456</v>
      </c>
      <c r="DI24" s="40">
        <v>-2456</v>
      </c>
      <c r="DJ24" s="40">
        <v>-2456</v>
      </c>
      <c r="DK24" s="40">
        <v>-2456</v>
      </c>
      <c r="DL24" s="7"/>
      <c r="DM24" s="7"/>
      <c r="DN24" s="85"/>
      <c r="DO24" s="85"/>
      <c r="DP24" s="85"/>
      <c r="DQ24" s="85"/>
      <c r="DR24" s="85"/>
      <c r="DS24" s="78">
        <v>0.66251973371720063</v>
      </c>
      <c r="DT24" s="78">
        <v>0.40233624189899775</v>
      </c>
      <c r="DU24" s="6">
        <v>0.33567686902856386</v>
      </c>
      <c r="DV24" s="6">
        <v>0.30531913205671191</v>
      </c>
      <c r="DW24" s="171">
        <v>1.3699160988253507</v>
      </c>
      <c r="DX24" s="132">
        <v>1.7289394967677711</v>
      </c>
      <c r="DY24" s="132">
        <v>2.1341963111872384</v>
      </c>
      <c r="DZ24" s="132">
        <v>2.623006441335193</v>
      </c>
      <c r="EA24" s="78">
        <v>6.6583199999999995E-2</v>
      </c>
      <c r="EB24" s="6">
        <v>-5.6741919999999994E-2</v>
      </c>
      <c r="EC24" s="194">
        <v>-0.41001070000000001</v>
      </c>
      <c r="ED24" s="363">
        <v>0.10509136701304578</v>
      </c>
      <c r="EE24" s="175">
        <v>0.12576663479537631</v>
      </c>
      <c r="EF24" s="363">
        <v>0.23085800180842209</v>
      </c>
      <c r="EG24" s="6">
        <v>8.310327897492531E-2</v>
      </c>
      <c r="EH24" s="363">
        <v>0.3139612807833474</v>
      </c>
      <c r="EI24" s="6">
        <v>2.1715588245216466E-2</v>
      </c>
      <c r="EJ24" s="194">
        <v>0.33567686902856386</v>
      </c>
      <c r="EK24" s="6">
        <v>0.11415066923161898</v>
      </c>
      <c r="EL24" s="194">
        <v>0.30437516281396637</v>
      </c>
    </row>
    <row r="25" spans="2:142" x14ac:dyDescent="0.25">
      <c r="B25" s="38" t="s">
        <v>37</v>
      </c>
      <c r="C25" s="291">
        <v>2</v>
      </c>
      <c r="D25" s="143">
        <v>45987</v>
      </c>
      <c r="E25" s="147"/>
      <c r="F25" s="149">
        <v>247.02999877929688</v>
      </c>
      <c r="G25" s="39">
        <v>214</v>
      </c>
      <c r="H25" s="25">
        <v>-2236</v>
      </c>
      <c r="I25" s="2">
        <v>2481</v>
      </c>
      <c r="J25" s="2"/>
      <c r="K25" s="76">
        <v>245</v>
      </c>
      <c r="L25" s="76">
        <v>53109.419738769531</v>
      </c>
      <c r="M25" s="3">
        <v>5005</v>
      </c>
      <c r="N25" s="3">
        <v>5497</v>
      </c>
      <c r="O25" s="3">
        <v>6131</v>
      </c>
      <c r="P25" s="3">
        <v>7163.5943950858727</v>
      </c>
      <c r="Q25" s="3">
        <v>8033.9294878308101</v>
      </c>
      <c r="R25" s="3">
        <v>8899.6560969511374</v>
      </c>
      <c r="S25" s="3">
        <v>9836.7868349397959</v>
      </c>
      <c r="T25" s="3">
        <v>10567.905875955987</v>
      </c>
      <c r="U25" s="3">
        <v>11329</v>
      </c>
      <c r="V25" s="4">
        <v>0.92387612387612383</v>
      </c>
      <c r="W25" s="4">
        <v>0.92414044024013098</v>
      </c>
      <c r="X25" s="4">
        <v>0.92692872288370576</v>
      </c>
      <c r="Y25" s="4">
        <v>0.93948958807312821</v>
      </c>
      <c r="Z25" s="4">
        <v>0.94497064109644469</v>
      </c>
      <c r="AA25" s="4">
        <v>0.94634816739643968</v>
      </c>
      <c r="AB25" s="4">
        <v>0.94773818054988768</v>
      </c>
      <c r="AC25" s="4">
        <v>0.94773818054988768</v>
      </c>
      <c r="AD25" s="4">
        <v>0.94773293652774482</v>
      </c>
      <c r="AE25" s="146">
        <v>4624</v>
      </c>
      <c r="AF25" s="146">
        <v>5080</v>
      </c>
      <c r="AG25" s="146">
        <v>5683</v>
      </c>
      <c r="AH25" s="146">
        <v>6730.1223473621967</v>
      </c>
      <c r="AI25" s="146">
        <v>7591.8274986391125</v>
      </c>
      <c r="AJ25" s="146">
        <v>8422.1732378082597</v>
      </c>
      <c r="AK25" s="146">
        <v>9322.6984574029302</v>
      </c>
      <c r="AL25" s="146">
        <v>10015.607887100994</v>
      </c>
      <c r="AM25" s="146">
        <v>10736.866437922821</v>
      </c>
      <c r="AN25" s="148">
        <v>6.6284403669724767</v>
      </c>
      <c r="AO25" s="148">
        <v>7.6064814814814818</v>
      </c>
      <c r="AP25" s="148">
        <v>8.4746543778801851</v>
      </c>
      <c r="AQ25" s="148">
        <v>10.251992961819862</v>
      </c>
      <c r="AR25" s="148">
        <v>12.167684283472573</v>
      </c>
      <c r="AS25" s="148">
        <v>14.530859944135434</v>
      </c>
      <c r="AT25" s="148">
        <v>17.248806320916767</v>
      </c>
      <c r="AU25" s="11">
        <v>19.883967426837742</v>
      </c>
      <c r="AV25" s="11">
        <v>22.82</v>
      </c>
      <c r="AW25" s="148">
        <v>4.1156484989645303</v>
      </c>
      <c r="AX25" s="148">
        <v>4.9368077513359587</v>
      </c>
      <c r="AY25" s="148">
        <v>5.9147191496874028</v>
      </c>
      <c r="AZ25" s="148">
        <v>7.5987971260000808</v>
      </c>
      <c r="BA25" s="148">
        <v>9.4111835977816405</v>
      </c>
      <c r="BB25" s="148">
        <v>11.687000654894684</v>
      </c>
      <c r="BC25" s="148">
        <v>14.338177082425609</v>
      </c>
      <c r="BD25" s="11">
        <v>16.764465088412191</v>
      </c>
      <c r="BE25" s="11">
        <v>19.352083633203886</v>
      </c>
      <c r="BF25" s="5">
        <v>8.6624400161098567</v>
      </c>
      <c r="BG25" s="5">
        <v>7.4137949204943627</v>
      </c>
      <c r="BH25" s="5">
        <v>6.6106405114976017</v>
      </c>
      <c r="BI25" s="5">
        <v>5.9675811245070323</v>
      </c>
      <c r="BJ25" s="5">
        <v>5.3990617698583661</v>
      </c>
      <c r="BK25" s="5">
        <v>5.0255386792953605</v>
      </c>
      <c r="BL25" s="5">
        <v>4.6879177101923855</v>
      </c>
      <c r="BM25" s="5">
        <v>6.9956041214437183</v>
      </c>
      <c r="BN25" s="5">
        <v>6.305904454726039</v>
      </c>
      <c r="BO25" s="5">
        <v>5.6967861806789024</v>
      </c>
      <c r="BP25" s="5">
        <v>5.3026656332231861</v>
      </c>
      <c r="BQ25" s="5">
        <v>4.946454353868651</v>
      </c>
      <c r="BR25" s="5">
        <v>20.302137450660105</v>
      </c>
      <c r="BS25" s="5">
        <v>17.00037022784716</v>
      </c>
      <c r="BT25" s="5">
        <v>14.321570674704367</v>
      </c>
      <c r="BU25" s="5">
        <v>12.423576918853534</v>
      </c>
      <c r="BV25" s="5">
        <v>10.825153320740441</v>
      </c>
      <c r="BW25" s="8">
        <v>26.248558028081145</v>
      </c>
      <c r="BX25" s="5">
        <v>21.137159659166887</v>
      </c>
      <c r="BY25" s="5">
        <v>17.228828836413456</v>
      </c>
      <c r="BZ25" s="5">
        <v>14.735334379982522</v>
      </c>
      <c r="CA25" s="378">
        <v>12.76503365019817</v>
      </c>
      <c r="CB25" t="s">
        <v>55</v>
      </c>
      <c r="CC25" s="12">
        <v>24</v>
      </c>
      <c r="CD25" s="376">
        <v>24</v>
      </c>
      <c r="CE25" s="12">
        <v>24</v>
      </c>
      <c r="CF25" s="12">
        <v>24</v>
      </c>
      <c r="CG25" s="12">
        <v>24</v>
      </c>
      <c r="CH25" s="46">
        <v>361.37</v>
      </c>
      <c r="CI25" s="46">
        <v>384.69774758455685</v>
      </c>
      <c r="CJ25" s="46">
        <v>448.42553936773533</v>
      </c>
      <c r="CK25" s="46">
        <v>516.21179333293685</v>
      </c>
      <c r="CL25" s="46">
        <v>591.48334075116236</v>
      </c>
      <c r="CM25" s="43">
        <v>280.48801571747242</v>
      </c>
      <c r="CN25" s="43">
        <v>344.11624997821463</v>
      </c>
      <c r="CO25" s="43">
        <v>402.34716212189255</v>
      </c>
      <c r="CP25" s="43">
        <v>464.45000719689324</v>
      </c>
      <c r="CQ25" s="7"/>
      <c r="CR25" s="7"/>
      <c r="CS25" s="7"/>
      <c r="CT25" s="7"/>
      <c r="CU25" s="7"/>
      <c r="CV25" s="7"/>
      <c r="CW25" s="101">
        <v>58480.99178644667</v>
      </c>
      <c r="CX25" s="101">
        <v>69336.430198499787</v>
      </c>
      <c r="CY25" s="101">
        <v>78205.419770337117</v>
      </c>
      <c r="CZ25" s="101">
        <v>86990.650535660097</v>
      </c>
      <c r="DA25" s="101"/>
      <c r="DB25" s="40">
        <v>207.80920581347939</v>
      </c>
      <c r="DC25" s="40">
        <v>200.93044197383045</v>
      </c>
      <c r="DD25" s="40">
        <v>193.893301891124</v>
      </c>
      <c r="DE25" s="40">
        <v>186.88265516349571</v>
      </c>
      <c r="DF25" s="40">
        <v>180.09897876856564</v>
      </c>
      <c r="DG25" s="40">
        <v>193</v>
      </c>
      <c r="DH25" s="40">
        <v>193</v>
      </c>
      <c r="DI25" s="40">
        <v>193</v>
      </c>
      <c r="DJ25" s="40">
        <v>193</v>
      </c>
      <c r="DK25" s="40">
        <v>193</v>
      </c>
      <c r="DL25" s="7"/>
      <c r="DM25" s="7"/>
      <c r="DN25" s="7"/>
      <c r="DO25" s="7"/>
      <c r="DP25" s="7"/>
      <c r="DQ25" s="7"/>
      <c r="DR25" s="7"/>
      <c r="DS25" s="78">
        <v>0.22770292993515806</v>
      </c>
      <c r="DT25" s="78">
        <v>0.22717505293257245</v>
      </c>
      <c r="DU25" s="6">
        <v>0.20471586192668911</v>
      </c>
      <c r="DV25" s="6">
        <v>0.19058414747200181</v>
      </c>
      <c r="DW25" s="171">
        <v>1.1354411087864185</v>
      </c>
      <c r="DX25" s="132">
        <v>1.3930140131913986</v>
      </c>
      <c r="DY25" s="132">
        <v>1.628738064648416</v>
      </c>
      <c r="DZ25" s="132">
        <v>1.8801360542929246</v>
      </c>
      <c r="EA25" s="78">
        <v>2.070075E-2</v>
      </c>
      <c r="EB25" s="6">
        <v>7.8262739999999997E-2</v>
      </c>
      <c r="EC25" s="194">
        <v>-0.1516536</v>
      </c>
      <c r="ED25" s="363">
        <v>9.3424514411172277E-2</v>
      </c>
      <c r="EE25" s="175">
        <v>7.0492242495941992E-2</v>
      </c>
      <c r="EF25" s="363">
        <v>0.16391675690711427</v>
      </c>
      <c r="EG25" s="6">
        <v>4.1472414117399659E-2</v>
      </c>
      <c r="EH25" s="363">
        <v>0.20538917102451393</v>
      </c>
      <c r="EI25" s="6">
        <v>-6.7330909782481463E-4</v>
      </c>
      <c r="EJ25" s="194">
        <v>0.20471586192668911</v>
      </c>
      <c r="EK25" s="6">
        <v>9.6756778726385217E-2</v>
      </c>
      <c r="EL25" s="194">
        <v>0.21222104188198321</v>
      </c>
    </row>
    <row r="26" spans="2:142" x14ac:dyDescent="0.25">
      <c r="B26" s="38" t="s">
        <v>158</v>
      </c>
      <c r="C26" s="291">
        <v>2</v>
      </c>
      <c r="D26" s="186">
        <v>46119</v>
      </c>
      <c r="E26" s="147"/>
      <c r="F26" s="149">
        <v>419.92999267578125</v>
      </c>
      <c r="G26" s="3">
        <v>496.709</v>
      </c>
      <c r="H26" s="25">
        <v>-3652.3209999999999</v>
      </c>
      <c r="I26" s="3">
        <v>8591.7049999999999</v>
      </c>
      <c r="J26" s="3"/>
      <c r="K26" s="76">
        <v>4939.384</v>
      </c>
      <c r="L26" s="76">
        <v>213522.39073199462</v>
      </c>
      <c r="M26" s="3">
        <v>12062.550666666666</v>
      </c>
      <c r="N26" s="3">
        <v>11825.808666666666</v>
      </c>
      <c r="O26" s="3">
        <v>9692.5820000000003</v>
      </c>
      <c r="P26" s="3">
        <v>11391.573723820045</v>
      </c>
      <c r="Q26" s="3">
        <v>13652.819976495834</v>
      </c>
      <c r="R26" s="3">
        <v>15832.058961771027</v>
      </c>
      <c r="S26" s="3">
        <v>16861.142794286141</v>
      </c>
      <c r="T26" s="3">
        <v>17957.117075914739</v>
      </c>
      <c r="U26" s="3">
        <v>19124.329685849196</v>
      </c>
      <c r="V26" s="21">
        <v>0.73416385235494153</v>
      </c>
      <c r="W26" s="21">
        <v>0.71914229346852854</v>
      </c>
      <c r="X26" s="21">
        <v>0.68198358634813028</v>
      </c>
      <c r="Y26" s="21">
        <v>0.69524994832839904</v>
      </c>
      <c r="Z26" s="21">
        <v>0.70431791739188543</v>
      </c>
      <c r="AA26" s="21">
        <v>0.7106059293042053</v>
      </c>
      <c r="AB26" s="21">
        <v>0.71301026225746966</v>
      </c>
      <c r="AC26" s="21">
        <v>0.71526785188494812</v>
      </c>
      <c r="AD26" s="21">
        <v>0.71738765435206375</v>
      </c>
      <c r="AE26" s="144">
        <v>8855.8886666666676</v>
      </c>
      <c r="AF26" s="144">
        <v>8504.439166666667</v>
      </c>
      <c r="AG26" s="144">
        <v>6610.1818333333331</v>
      </c>
      <c r="AH26" s="144">
        <v>7919.9910428650346</v>
      </c>
      <c r="AI26" s="144">
        <v>9615.9257323718757</v>
      </c>
      <c r="AJ26" s="144">
        <v>11250.354971328272</v>
      </c>
      <c r="AK26" s="144">
        <v>12022.167845714606</v>
      </c>
      <c r="AL26" s="144">
        <v>12844.148556936056</v>
      </c>
      <c r="AM26" s="144">
        <v>13719.558014386896</v>
      </c>
      <c r="AN26" s="11">
        <v>9.6536192324330603</v>
      </c>
      <c r="AO26" s="11">
        <v>9.4699005321248055</v>
      </c>
      <c r="AP26" s="11">
        <v>6.6150000000000002</v>
      </c>
      <c r="AQ26" s="11">
        <v>8.185793262323271</v>
      </c>
      <c r="AR26" s="11">
        <v>10.648839486591106</v>
      </c>
      <c r="AS26" s="11">
        <v>13.346218346167658</v>
      </c>
      <c r="AT26" s="11">
        <v>15.019715424182962</v>
      </c>
      <c r="AU26" s="11">
        <v>16.794947190877917</v>
      </c>
      <c r="AV26" s="11">
        <v>18.828811530735685</v>
      </c>
      <c r="AW26" s="145">
        <v>9.6536192324330603</v>
      </c>
      <c r="AX26" s="145">
        <v>9.4699005321248055</v>
      </c>
      <c r="AY26" s="145">
        <v>6.6150000000000002</v>
      </c>
      <c r="AZ26" s="145">
        <v>8.185793262323271</v>
      </c>
      <c r="BA26" s="145">
        <v>10.648839486591106</v>
      </c>
      <c r="BB26" s="145">
        <v>13.346218346167658</v>
      </c>
      <c r="BC26" s="145">
        <v>15.019715424182962</v>
      </c>
      <c r="BD26" s="145">
        <v>16.794947190877917</v>
      </c>
      <c r="BE26" s="145">
        <v>18.828811530735685</v>
      </c>
      <c r="BF26" s="5">
        <v>22.029464463854378</v>
      </c>
      <c r="BG26" s="5">
        <v>18.743888764509713</v>
      </c>
      <c r="BH26" s="5">
        <v>15.639435010465712</v>
      </c>
      <c r="BI26" s="5">
        <v>13.486710177594569</v>
      </c>
      <c r="BJ26" s="5">
        <v>12.663577631544198</v>
      </c>
      <c r="BK26" s="5">
        <v>11.89068322210723</v>
      </c>
      <c r="BL26" s="5">
        <v>11.164960771931671</v>
      </c>
      <c r="BM26" s="5">
        <v>22.205079019399513</v>
      </c>
      <c r="BN26" s="5">
        <v>18.979169215207893</v>
      </c>
      <c r="BO26" s="5">
        <v>17.760722814072697</v>
      </c>
      <c r="BP26" s="5">
        <v>16.624098497886724</v>
      </c>
      <c r="BQ26" s="5">
        <v>15.563357836169811</v>
      </c>
      <c r="BR26" s="5">
        <v>39.434343357748247</v>
      </c>
      <c r="BS26" s="5">
        <v>31.464343065866547</v>
      </c>
      <c r="BT26" s="5">
        <v>27.958585153994317</v>
      </c>
      <c r="BU26" s="5">
        <v>25.003352967008073</v>
      </c>
      <c r="BV26" s="5">
        <v>22.302522492739275</v>
      </c>
      <c r="BW26" s="8">
        <v>39.434343357748247</v>
      </c>
      <c r="BX26" s="5">
        <v>31.464343065866547</v>
      </c>
      <c r="BY26" s="5">
        <v>27.958585153994317</v>
      </c>
      <c r="BZ26" s="5">
        <v>25.003352967008073</v>
      </c>
      <c r="CA26" s="378">
        <v>22.302522492739275</v>
      </c>
      <c r="CC26" s="12">
        <v>24</v>
      </c>
      <c r="CD26" s="376">
        <v>24</v>
      </c>
      <c r="CE26" s="12">
        <v>24</v>
      </c>
      <c r="CF26" s="12">
        <v>24</v>
      </c>
      <c r="CG26" s="82">
        <v>24</v>
      </c>
      <c r="CH26" s="46"/>
      <c r="CI26" s="46"/>
      <c r="CJ26" s="46"/>
      <c r="CK26" s="46"/>
      <c r="CL26" s="46"/>
      <c r="CM26" s="43">
        <v>320.30924030802379</v>
      </c>
      <c r="CN26" s="43">
        <v>360.47317018039109</v>
      </c>
      <c r="CO26" s="43">
        <v>403.07873258106997</v>
      </c>
      <c r="CP26" s="43">
        <v>451.89147673765643</v>
      </c>
      <c r="CQ26" s="7"/>
      <c r="CR26" s="7"/>
      <c r="CS26" s="7"/>
      <c r="CT26" s="7"/>
      <c r="CU26" s="7"/>
      <c r="CV26" s="7"/>
      <c r="CW26" s="41"/>
      <c r="CX26" s="41"/>
      <c r="CY26" s="41"/>
      <c r="CZ26" s="41"/>
      <c r="DA26" s="19"/>
      <c r="DB26" s="40">
        <v>489.01211480926463</v>
      </c>
      <c r="DC26" s="40">
        <v>476.34739597221483</v>
      </c>
      <c r="DD26" s="40">
        <v>459.37804965057353</v>
      </c>
      <c r="DE26" s="40">
        <v>441.93829100825155</v>
      </c>
      <c r="DF26" s="40">
        <v>427.07412499075235</v>
      </c>
      <c r="DG26" s="40">
        <v>5139.384</v>
      </c>
      <c r="DH26" s="40">
        <v>5339.384</v>
      </c>
      <c r="DI26" s="40">
        <v>7387.9713703884418</v>
      </c>
      <c r="DJ26" s="40">
        <v>7992.7683378063484</v>
      </c>
      <c r="DK26" s="40">
        <v>8641.1126470411709</v>
      </c>
      <c r="DL26" s="7"/>
      <c r="DM26" s="7"/>
      <c r="DN26" s="7">
        <v>4.3503166666666679</v>
      </c>
      <c r="DO26" s="7">
        <v>4.7853483333333351</v>
      </c>
      <c r="DP26" s="7">
        <v>5.2638831666666688</v>
      </c>
      <c r="DQ26" s="7">
        <v>5.7902714833333357</v>
      </c>
      <c r="DR26" s="7">
        <v>6.3692986316666698</v>
      </c>
      <c r="DS26" s="78">
        <v>-0.34546547584122755</v>
      </c>
      <c r="DT26" s="78">
        <v>-7.8365269474657051E-2</v>
      </c>
      <c r="DU26" s="6">
        <v>-3.7467089050701174E-3</v>
      </c>
      <c r="DV26" s="6">
        <v>3.1871233482350103E-2</v>
      </c>
      <c r="DW26" s="171">
        <v>0.77312781329566282</v>
      </c>
      <c r="DX26" s="132">
        <v>0.88016774611704862</v>
      </c>
      <c r="DY26" s="132">
        <v>0.99416161748194665</v>
      </c>
      <c r="DZ26" s="132">
        <v>1.1241904713201567</v>
      </c>
      <c r="EA26" s="78">
        <v>0.13067700000000002</v>
      </c>
      <c r="EB26" s="6">
        <v>0.21630469999999999</v>
      </c>
      <c r="EC26" s="194">
        <v>0.80874250000000003</v>
      </c>
      <c r="ED26" s="363">
        <v>8.5562562580537405E-2</v>
      </c>
      <c r="EE26" s="175">
        <v>2.457328554708349E-2</v>
      </c>
      <c r="EF26" s="363">
        <v>0.11013584812762089</v>
      </c>
      <c r="EG26" s="6">
        <v>5.0721853829207963E-2</v>
      </c>
      <c r="EH26" s="363">
        <v>0.16085770195682886</v>
      </c>
      <c r="EI26" s="6">
        <v>-0.16460441086189898</v>
      </c>
      <c r="EJ26" s="194">
        <v>-3.7467089050701174E-3</v>
      </c>
      <c r="EK26" s="6">
        <v>0.10129771936488186</v>
      </c>
      <c r="EL26" s="194">
        <v>0.1640155639375338</v>
      </c>
    </row>
    <row r="27" spans="2:142" x14ac:dyDescent="0.25">
      <c r="B27" s="142" t="s">
        <v>85</v>
      </c>
      <c r="C27" s="290">
        <v>1</v>
      </c>
      <c r="D27" s="143">
        <v>45689</v>
      </c>
      <c r="E27" s="147"/>
      <c r="F27" s="149">
        <v>68.120002746582031</v>
      </c>
      <c r="G27" s="3">
        <v>197.2</v>
      </c>
      <c r="H27" s="25">
        <v>-749.9</v>
      </c>
      <c r="I27" s="3">
        <v>5120.1000000000004</v>
      </c>
      <c r="J27" s="3">
        <v>105.1</v>
      </c>
      <c r="K27" s="76">
        <v>4370.2000000000007</v>
      </c>
      <c r="L27" s="76">
        <v>17908.564541625976</v>
      </c>
      <c r="M27" s="3">
        <v>3710</v>
      </c>
      <c r="N27" s="3">
        <v>3831.3999999999996</v>
      </c>
      <c r="O27" s="3">
        <v>4183.7999999999993</v>
      </c>
      <c r="P27" s="3">
        <v>4544.1736566513928</v>
      </c>
      <c r="Q27" s="3">
        <v>4888.6712103151576</v>
      </c>
      <c r="R27" s="3">
        <v>5267.2450026041288</v>
      </c>
      <c r="S27" s="3">
        <v>5690.089741367221</v>
      </c>
      <c r="T27" s="3">
        <v>6163.765390803238</v>
      </c>
      <c r="U27" s="3">
        <v>6647.7196898411712</v>
      </c>
      <c r="V27" s="21">
        <v>0.6</v>
      </c>
      <c r="W27" s="21">
        <v>0.6</v>
      </c>
      <c r="X27" s="21">
        <v>0.6</v>
      </c>
      <c r="Y27" s="21">
        <v>0.6</v>
      </c>
      <c r="Z27" s="21">
        <v>0.6</v>
      </c>
      <c r="AA27" s="21">
        <v>0.6</v>
      </c>
      <c r="AB27" s="21">
        <v>0.6</v>
      </c>
      <c r="AC27" s="21">
        <v>0.6</v>
      </c>
      <c r="AD27" s="21">
        <v>0.6</v>
      </c>
      <c r="AE27" s="144">
        <v>2226</v>
      </c>
      <c r="AF27" s="144">
        <v>2298.8399999999997</v>
      </c>
      <c r="AG27" s="144">
        <v>2510.2799999999993</v>
      </c>
      <c r="AH27" s="144">
        <v>2726.5041939908356</v>
      </c>
      <c r="AI27" s="144">
        <v>2933.2027261890944</v>
      </c>
      <c r="AJ27" s="144">
        <v>3160.3470015624771</v>
      </c>
      <c r="AK27" s="144">
        <v>3414.0538448203324</v>
      </c>
      <c r="AL27" s="144">
        <v>3698.2592344819427</v>
      </c>
      <c r="AM27" s="144">
        <v>3988.6318139047025</v>
      </c>
      <c r="AN27" s="11">
        <v>3.2940880372863806</v>
      </c>
      <c r="AO27" s="11">
        <v>2.9669799691833596</v>
      </c>
      <c r="AP27" s="11">
        <v>3.4410971021860703</v>
      </c>
      <c r="AQ27" s="11">
        <v>3.7424210396428959</v>
      </c>
      <c r="AR27" s="11">
        <v>4.3515834620752596</v>
      </c>
      <c r="AS27" s="11">
        <v>5.196394936118387</v>
      </c>
      <c r="AT27" s="11">
        <v>6.1913685429278464</v>
      </c>
      <c r="AU27" s="11">
        <v>7.3896915783172581</v>
      </c>
      <c r="AV27" s="11">
        <v>8.7315556565516914</v>
      </c>
      <c r="AW27" s="75">
        <v>3.2940880372863806</v>
      </c>
      <c r="AX27" s="75">
        <v>2.9669799691833596</v>
      </c>
      <c r="AY27" s="75">
        <v>3.4410971021860703</v>
      </c>
      <c r="AZ27" s="75">
        <v>3.7424210396428959</v>
      </c>
      <c r="BA27" s="75">
        <v>4.3515834620752596</v>
      </c>
      <c r="BB27" s="75">
        <v>5.196394936118387</v>
      </c>
      <c r="BC27" s="75">
        <v>6.1913685429278464</v>
      </c>
      <c r="BD27" s="75">
        <v>7.3896915783172581</v>
      </c>
      <c r="BE27" s="75">
        <v>8.7315556565516914</v>
      </c>
      <c r="BF27" s="5">
        <v>4.2804542620646249</v>
      </c>
      <c r="BG27" s="5">
        <v>3.9409947538894934</v>
      </c>
      <c r="BH27" s="5">
        <v>3.6632785824987941</v>
      </c>
      <c r="BI27" s="5">
        <v>3.3999870013207989</v>
      </c>
      <c r="BJ27" s="5">
        <v>3.147325500234182</v>
      </c>
      <c r="BK27" s="5">
        <v>2.9054584991743497</v>
      </c>
      <c r="BL27" s="5">
        <v>2.6939409868609925</v>
      </c>
      <c r="BM27" s="5">
        <v>6.1054643041646575</v>
      </c>
      <c r="BN27" s="5">
        <v>5.6666450022013324</v>
      </c>
      <c r="BO27" s="5">
        <v>5.2455425003903038</v>
      </c>
      <c r="BP27" s="5">
        <v>4.84243083195725</v>
      </c>
      <c r="BQ27" s="5">
        <v>4.4899016447683211</v>
      </c>
      <c r="BR27" s="5">
        <v>15.654072440585976</v>
      </c>
      <c r="BS27" s="5">
        <v>13.109088817153387</v>
      </c>
      <c r="BT27" s="5">
        <v>11.002414453972829</v>
      </c>
      <c r="BU27" s="5">
        <v>9.2182470708870863</v>
      </c>
      <c r="BV27" s="5">
        <v>7.8015883338576018</v>
      </c>
      <c r="BW27" s="8">
        <v>15.654072440585976</v>
      </c>
      <c r="BX27" s="5">
        <v>13.109088817153387</v>
      </c>
      <c r="BY27" s="5">
        <v>11.002414453972829</v>
      </c>
      <c r="BZ27" s="5">
        <v>9.2182470708870863</v>
      </c>
      <c r="CA27" s="378">
        <v>7.8015883338576018</v>
      </c>
      <c r="CC27" s="12">
        <v>20</v>
      </c>
      <c r="CD27" s="376">
        <v>20</v>
      </c>
      <c r="CE27" s="12">
        <v>20</v>
      </c>
      <c r="CF27" s="82">
        <v>20</v>
      </c>
      <c r="CG27" s="82">
        <v>20</v>
      </c>
      <c r="CH27" s="46">
        <v>103.92789872236774</v>
      </c>
      <c r="CI27" s="46">
        <v>130.01873940148477</v>
      </c>
      <c r="CJ27" s="46">
        <v>162.57321472297969</v>
      </c>
      <c r="CK27" s="46">
        <v>192.09422444413721</v>
      </c>
      <c r="CL27" s="46"/>
      <c r="CM27" s="43">
        <v>103.92789872236774</v>
      </c>
      <c r="CN27" s="43">
        <v>123.82737085855693</v>
      </c>
      <c r="CO27" s="43">
        <v>147.79383156634515</v>
      </c>
      <c r="CP27" s="43">
        <v>174.63111313103383</v>
      </c>
      <c r="CQ27" s="7"/>
      <c r="CR27" s="7"/>
      <c r="CS27" s="7"/>
      <c r="CT27" s="7"/>
      <c r="CU27" s="7"/>
      <c r="CV27" s="7"/>
      <c r="CW27" s="41"/>
      <c r="CX27" s="41"/>
      <c r="CY27" s="41"/>
      <c r="CZ27" s="41"/>
      <c r="DA27" s="19"/>
      <c r="DB27" s="185">
        <v>190.35636039430796</v>
      </c>
      <c r="DC27" s="185">
        <v>180.30632536442258</v>
      </c>
      <c r="DD27" s="185">
        <v>169.60490214698731</v>
      </c>
      <c r="DE27" s="185">
        <v>159.40250297999353</v>
      </c>
      <c r="DF27" s="185">
        <v>149.64171201524383</v>
      </c>
      <c r="DG27" s="40"/>
      <c r="DH27" s="40"/>
      <c r="DI27" s="40"/>
      <c r="DJ27" s="40"/>
      <c r="DK27" s="40"/>
      <c r="DL27" s="7"/>
      <c r="DM27" s="7"/>
      <c r="DN27" s="7">
        <v>0.88330716822710142</v>
      </c>
      <c r="DO27" s="7">
        <v>1.0311126918506281</v>
      </c>
      <c r="DP27" s="7">
        <v>1.2092731511222865</v>
      </c>
      <c r="DQ27" s="7">
        <v>1.428101833811118</v>
      </c>
      <c r="DR27" s="7"/>
      <c r="DS27" s="78">
        <v>0.9951403590709742</v>
      </c>
      <c r="DT27" s="78">
        <v>0.45776990425869379</v>
      </c>
      <c r="DU27" s="6">
        <v>0.35371816789660437</v>
      </c>
      <c r="DV27" s="6">
        <v>0.30565675469865594</v>
      </c>
      <c r="DW27" s="171">
        <v>1.5386259786352376</v>
      </c>
      <c r="DX27" s="132">
        <v>1.8458864599054035</v>
      </c>
      <c r="DY27" s="132">
        <v>2.2154656267261759</v>
      </c>
      <c r="DZ27" s="132">
        <v>2.6304007743898046</v>
      </c>
      <c r="EA27" s="78">
        <v>-0.12945690000000001</v>
      </c>
      <c r="EB27" s="6">
        <v>-0.1050972</v>
      </c>
      <c r="EC27" s="194">
        <v>-0.1680508</v>
      </c>
      <c r="ED27" s="363">
        <v>8.0465497616206694E-2</v>
      </c>
      <c r="EE27" s="175">
        <v>4.2332787761168111E-2</v>
      </c>
      <c r="EF27" s="363">
        <v>0.12279828537737481</v>
      </c>
      <c r="EG27" s="6">
        <v>8.4830050987712513E-2</v>
      </c>
      <c r="EH27" s="363">
        <v>0.20762833636508732</v>
      </c>
      <c r="EI27" s="6">
        <v>0.14608983153151706</v>
      </c>
      <c r="EJ27" s="194">
        <v>0.35371816789660437</v>
      </c>
      <c r="EK27" s="6">
        <v>8.0318359526691196E-2</v>
      </c>
      <c r="EL27" s="194">
        <v>0.19305280199790076</v>
      </c>
    </row>
    <row r="28" spans="2:142" x14ac:dyDescent="0.25">
      <c r="B28" s="38" t="s">
        <v>156</v>
      </c>
      <c r="C28">
        <v>2</v>
      </c>
      <c r="D28" s="186">
        <v>46119</v>
      </c>
      <c r="F28" s="149">
        <v>256.45001220703125</v>
      </c>
      <c r="G28" s="3">
        <v>571</v>
      </c>
      <c r="H28" s="25">
        <v>-256</v>
      </c>
      <c r="I28" s="3">
        <v>4634</v>
      </c>
      <c r="K28" s="76">
        <v>4378</v>
      </c>
      <c r="L28" s="76">
        <v>150810.95697021484</v>
      </c>
      <c r="M28" s="3">
        <v>34176</v>
      </c>
      <c r="N28" s="3">
        <v>35902</v>
      </c>
      <c r="O28" s="3">
        <v>38153</v>
      </c>
      <c r="P28" s="3">
        <v>40152</v>
      </c>
      <c r="Q28" s="3">
        <v>43106.592000000004</v>
      </c>
      <c r="R28" s="3">
        <v>47244.824832000006</v>
      </c>
      <c r="S28" s="3">
        <v>51166.145293056004</v>
      </c>
      <c r="T28" s="3">
        <v>54594.277027690754</v>
      </c>
      <c r="U28" s="3">
        <v>57596.962264213747</v>
      </c>
      <c r="V28" s="4">
        <v>0.40601591760299627</v>
      </c>
      <c r="W28" s="4">
        <v>0.41813826527770043</v>
      </c>
      <c r="X28" s="4">
        <v>0.42638848845438104</v>
      </c>
      <c r="Y28" s="4">
        <v>0.42077605100617654</v>
      </c>
      <c r="Z28" s="4">
        <v>0.42327605100617655</v>
      </c>
      <c r="AA28" s="4">
        <v>0.42577605100617655</v>
      </c>
      <c r="AB28" s="4">
        <v>0.42827605100617655</v>
      </c>
      <c r="AC28" s="4">
        <v>0.43077605100617655</v>
      </c>
      <c r="AD28" s="4">
        <v>0.43327605100617655</v>
      </c>
      <c r="AE28" s="144">
        <v>13876</v>
      </c>
      <c r="AF28" s="144">
        <v>15012</v>
      </c>
      <c r="AG28" s="144">
        <v>16268</v>
      </c>
      <c r="AH28" s="144">
        <v>16895</v>
      </c>
      <c r="AI28" s="144">
        <v>18245.988034094444</v>
      </c>
      <c r="AJ28" s="144">
        <v>20115.714947447512</v>
      </c>
      <c r="AK28" s="144">
        <v>21913.234651318293</v>
      </c>
      <c r="AL28" s="144">
        <v>23517.907065525844</v>
      </c>
      <c r="AM28" s="144">
        <v>24955.384359790303</v>
      </c>
      <c r="AN28" s="11">
        <v>7.3353245149027382</v>
      </c>
      <c r="AO28" s="11">
        <v>7.4291705643684463</v>
      </c>
      <c r="AP28" s="11">
        <v>8.4292358069909454</v>
      </c>
      <c r="AQ28" s="11">
        <v>8.7645961770874745</v>
      </c>
      <c r="AR28" s="11">
        <v>10.118098155403851</v>
      </c>
      <c r="AS28" s="11">
        <v>11.686460573845341</v>
      </c>
      <c r="AT28" s="11">
        <v>13.168168474676882</v>
      </c>
      <c r="AU28" s="11">
        <v>14.563010417844174</v>
      </c>
      <c r="AV28" s="11">
        <v>15.956887467831717</v>
      </c>
      <c r="AW28" s="145">
        <v>7.3353245149027382</v>
      </c>
      <c r="AX28" s="145">
        <v>7.4291705643684463</v>
      </c>
      <c r="AY28" s="145">
        <v>8.4292358069909454</v>
      </c>
      <c r="AZ28" s="145">
        <v>8.7645961770874745</v>
      </c>
      <c r="BA28" s="145">
        <v>10.118098155403851</v>
      </c>
      <c r="BB28" s="145">
        <v>11.686460573845341</v>
      </c>
      <c r="BC28" s="145">
        <v>13.168168474676882</v>
      </c>
      <c r="BD28" s="145">
        <v>14.563010417844174</v>
      </c>
      <c r="BE28" s="145">
        <v>15.956887467831717</v>
      </c>
      <c r="BF28" s="5">
        <v>3.9527941962680484</v>
      </c>
      <c r="BG28" s="5">
        <v>3.7560011199993735</v>
      </c>
      <c r="BH28" s="5">
        <v>3.4985590364047994</v>
      </c>
      <c r="BI28" s="5">
        <v>3.1921159091284665</v>
      </c>
      <c r="BJ28" s="5">
        <v>2.9474754470253615</v>
      </c>
      <c r="BK28" s="5">
        <v>2.7623949831540409</v>
      </c>
      <c r="BL28" s="5">
        <v>2.6183838702881905</v>
      </c>
      <c r="BM28" s="5">
        <v>8.2654311012596065</v>
      </c>
      <c r="BN28" s="5">
        <v>7.4971711104581589</v>
      </c>
      <c r="BO28" s="5">
        <v>6.8821860108700159</v>
      </c>
      <c r="BP28" s="5">
        <v>6.4126011107205985</v>
      </c>
      <c r="BQ28" s="5">
        <v>6.0432231696343264</v>
      </c>
      <c r="BR28" s="234"/>
      <c r="BS28" s="234"/>
      <c r="BT28" s="234"/>
      <c r="BU28" s="234"/>
      <c r="BV28" s="234"/>
      <c r="BW28" s="8">
        <v>25.345673492015592</v>
      </c>
      <c r="BX28" s="5">
        <v>21.944198637949825</v>
      </c>
      <c r="BY28" s="5">
        <v>19.474994772446816</v>
      </c>
      <c r="BZ28" s="5">
        <v>17.609684045326301</v>
      </c>
      <c r="CA28" s="378">
        <v>16.071430767687094</v>
      </c>
      <c r="CB28" t="s">
        <v>55</v>
      </c>
      <c r="CC28" s="12">
        <v>22</v>
      </c>
      <c r="CD28" s="376">
        <v>22</v>
      </c>
      <c r="CE28" s="12">
        <v>22</v>
      </c>
      <c r="CF28" s="12">
        <v>22</v>
      </c>
      <c r="CG28" s="82">
        <v>22</v>
      </c>
      <c r="CH28" s="46"/>
      <c r="CI28" s="46"/>
      <c r="CJ28" s="46"/>
      <c r="CK28" s="46"/>
      <c r="CL28" s="46"/>
      <c r="CM28" s="181">
        <v>257.10213262459752</v>
      </c>
      <c r="CN28" s="181">
        <v>289.6997064428914</v>
      </c>
      <c r="CO28" s="181">
        <v>320.38622919257182</v>
      </c>
      <c r="CP28" s="181">
        <v>351.05152429229776</v>
      </c>
      <c r="CQ28" s="7"/>
      <c r="CR28" s="7"/>
      <c r="CS28" s="7"/>
      <c r="CT28" s="7"/>
      <c r="CU28" s="7"/>
      <c r="CV28" s="7"/>
      <c r="CW28" s="19"/>
      <c r="CX28" s="19"/>
      <c r="CY28" s="19"/>
      <c r="CZ28" s="19"/>
      <c r="DA28" s="19"/>
      <c r="DB28" s="40">
        <v>569.08500000000004</v>
      </c>
      <c r="DC28" s="40">
        <v>569.08500000000004</v>
      </c>
      <c r="DD28" s="40">
        <v>569.08500000000004</v>
      </c>
      <c r="DE28" s="40">
        <v>569.08500000000004</v>
      </c>
      <c r="DF28" s="40">
        <v>569.08500000000004</v>
      </c>
      <c r="DG28" s="40"/>
      <c r="DH28" s="40"/>
      <c r="DI28" s="40"/>
      <c r="DJ28" s="40"/>
      <c r="DK28" s="40"/>
      <c r="DL28" s="7"/>
      <c r="DM28" s="7"/>
      <c r="DN28" s="7">
        <v>4.2</v>
      </c>
      <c r="DO28" s="7">
        <v>5.1394413869593043</v>
      </c>
      <c r="DP28" s="7">
        <v>5.8138010057729836</v>
      </c>
      <c r="DQ28" s="7">
        <v>6.4205319897247906</v>
      </c>
      <c r="DR28" s="7">
        <v>7.0160967806631449</v>
      </c>
      <c r="DS28" s="78">
        <v>2.0564085289028533E-2</v>
      </c>
      <c r="DT28" s="78">
        <v>9.5899985905550933E-2</v>
      </c>
      <c r="DU28" s="6">
        <v>0.1060615243998082</v>
      </c>
      <c r="DV28" s="6">
        <v>0.10743910020538672</v>
      </c>
      <c r="DW28" s="171">
        <v>1.0189203360756682</v>
      </c>
      <c r="DX28" s="132">
        <v>1.1660718798813601</v>
      </c>
      <c r="DY28" s="132">
        <v>1.3084010747265014</v>
      </c>
      <c r="DZ28" s="132">
        <v>1.4530133785836423</v>
      </c>
      <c r="EA28" s="78">
        <v>-7.9490379999999999E-2</v>
      </c>
      <c r="EB28" s="6">
        <v>-1.098903E-2</v>
      </c>
      <c r="EC28" s="194">
        <v>0.1289613</v>
      </c>
      <c r="ED28" s="363">
        <v>7.9493751321065398E-2</v>
      </c>
      <c r="EE28" s="175">
        <v>4.4781165925862787E-2</v>
      </c>
      <c r="EF28" s="363">
        <v>0.12427491724692818</v>
      </c>
      <c r="EG28" s="6">
        <v>2.1355511544857653E-2</v>
      </c>
      <c r="EH28" s="363">
        <v>0.14563042879178584</v>
      </c>
      <c r="EI28" s="6">
        <v>-3.9568904391977633E-2</v>
      </c>
      <c r="EJ28" s="194">
        <v>0.1060615243998082</v>
      </c>
      <c r="EK28" s="6">
        <v>8.8287801853754511E-2</v>
      </c>
      <c r="EL28" s="194">
        <v>0.12906104610494396</v>
      </c>
    </row>
    <row r="29" spans="2:142" x14ac:dyDescent="0.25">
      <c r="B29" s="142" t="s">
        <v>101</v>
      </c>
      <c r="C29" s="290">
        <v>1</v>
      </c>
      <c r="D29" s="232">
        <v>46057</v>
      </c>
      <c r="F29" s="149">
        <v>416.6099853515625</v>
      </c>
      <c r="G29" s="25">
        <v>304.10249999999996</v>
      </c>
      <c r="H29" s="25">
        <v>-1847</v>
      </c>
      <c r="I29" s="2">
        <v>11388</v>
      </c>
      <c r="K29" s="80">
        <v>9541</v>
      </c>
      <c r="L29" s="81">
        <v>136233.1380703735</v>
      </c>
      <c r="M29" s="3">
        <v>11843</v>
      </c>
      <c r="N29" s="3">
        <v>12497</v>
      </c>
      <c r="O29" s="3">
        <v>14208</v>
      </c>
      <c r="P29" s="3">
        <v>15336</v>
      </c>
      <c r="Q29" s="3">
        <v>16719.28528578785</v>
      </c>
      <c r="R29" s="3">
        <v>18035.782444580334</v>
      </c>
      <c r="S29" s="3">
        <v>19461.908243850739</v>
      </c>
      <c r="T29" s="3">
        <v>21007.252143631718</v>
      </c>
      <c r="U29" s="3">
        <v>22682.276235256446</v>
      </c>
      <c r="V29" s="21">
        <v>0.7</v>
      </c>
      <c r="W29" s="21">
        <v>0.7</v>
      </c>
      <c r="X29" s="21">
        <v>0.7</v>
      </c>
      <c r="Y29" s="21">
        <v>0.7</v>
      </c>
      <c r="Z29" s="21">
        <v>0.7</v>
      </c>
      <c r="AA29" s="21">
        <v>0.7</v>
      </c>
      <c r="AB29" s="21">
        <v>0.7</v>
      </c>
      <c r="AC29" s="21">
        <v>0.7</v>
      </c>
      <c r="AD29" s="21">
        <v>0.7</v>
      </c>
      <c r="AE29" s="144">
        <v>8290.1</v>
      </c>
      <c r="AF29" s="144">
        <v>8747.9</v>
      </c>
      <c r="AG29" s="144">
        <v>9945.5999999999985</v>
      </c>
      <c r="AH29" s="144">
        <v>10735.199999999999</v>
      </c>
      <c r="AI29" s="144">
        <v>11703.499700051494</v>
      </c>
      <c r="AJ29" s="144">
        <v>12625.047711206233</v>
      </c>
      <c r="AK29" s="144">
        <v>13623.335770695518</v>
      </c>
      <c r="AL29" s="144">
        <v>14705.076500542202</v>
      </c>
      <c r="AM29" s="144">
        <v>15877.593364679511</v>
      </c>
      <c r="AN29" s="11">
        <v>11.773940345368917</v>
      </c>
      <c r="AO29" s="11">
        <v>12.599560990906241</v>
      </c>
      <c r="AP29" s="11">
        <v>15.703751202308434</v>
      </c>
      <c r="AQ29" s="11">
        <v>18.021314314471585</v>
      </c>
      <c r="AR29" s="11">
        <v>20.193226708023271</v>
      </c>
      <c r="AS29" s="11">
        <v>22.779020612762764</v>
      </c>
      <c r="AT29" s="11">
        <v>25.648625528291657</v>
      </c>
      <c r="AU29" s="11">
        <v>28.872376511637928</v>
      </c>
      <c r="AV29" s="11">
        <v>32.492214178098571</v>
      </c>
      <c r="AW29" s="145">
        <v>11.773940345368917</v>
      </c>
      <c r="AX29" s="145">
        <v>12.599560990906241</v>
      </c>
      <c r="AY29" s="145">
        <v>15.703751202308434</v>
      </c>
      <c r="AZ29" s="145">
        <v>18.021314314471585</v>
      </c>
      <c r="BA29" s="145">
        <v>20.193226708023271</v>
      </c>
      <c r="BB29" s="145">
        <v>22.779020612762764</v>
      </c>
      <c r="BC29" s="145">
        <v>25.648625528291657</v>
      </c>
      <c r="BD29" s="145">
        <v>28.872376511637928</v>
      </c>
      <c r="BE29" s="145">
        <v>32.492214178098571</v>
      </c>
      <c r="BF29" s="5">
        <v>9.5884810015747117</v>
      </c>
      <c r="BG29" s="5">
        <v>8.8832249654651481</v>
      </c>
      <c r="BH29" s="5">
        <v>8.1482632625557176</v>
      </c>
      <c r="BI29" s="5">
        <v>7.5534919812315051</v>
      </c>
      <c r="BJ29" s="5">
        <v>6.9999887145402742</v>
      </c>
      <c r="BK29" s="5">
        <v>6.4850527398307136</v>
      </c>
      <c r="BL29" s="5">
        <v>6.0061493237005035</v>
      </c>
      <c r="BM29" s="5">
        <v>10.476338480428781</v>
      </c>
      <c r="BN29" s="5">
        <v>9.7116325472976506</v>
      </c>
      <c r="BO29" s="5">
        <v>8.9999854901232101</v>
      </c>
      <c r="BP29" s="5">
        <v>8.337924951210919</v>
      </c>
      <c r="BQ29" s="5">
        <v>7.7221919876149343</v>
      </c>
      <c r="BR29" s="5">
        <v>20.631174570334171</v>
      </c>
      <c r="BS29" s="5">
        <v>18.289196556507868</v>
      </c>
      <c r="BT29" s="5">
        <v>16.242975082310817</v>
      </c>
      <c r="BU29" s="5">
        <v>14.429362445576125</v>
      </c>
      <c r="BV29" s="5">
        <v>12.821840428233394</v>
      </c>
      <c r="BW29" s="8">
        <v>20.631174570334171</v>
      </c>
      <c r="BX29" s="5">
        <v>18.289196556507868</v>
      </c>
      <c r="BY29" s="5">
        <v>16.242975082310817</v>
      </c>
      <c r="BZ29" s="5">
        <v>14.429362445576125</v>
      </c>
      <c r="CA29" s="378">
        <v>12.821840428233394</v>
      </c>
      <c r="CC29" s="82">
        <v>22</v>
      </c>
      <c r="CD29" s="82">
        <v>22</v>
      </c>
      <c r="CE29" s="168">
        <v>22</v>
      </c>
      <c r="CF29" s="82">
        <v>22</v>
      </c>
      <c r="CG29" s="82">
        <v>24.5</v>
      </c>
      <c r="CH29" s="46"/>
      <c r="CI29" s="46"/>
      <c r="CJ29" s="46"/>
      <c r="CK29" s="46"/>
      <c r="CL29" s="46"/>
      <c r="CM29" s="140">
        <v>501.13845348078081</v>
      </c>
      <c r="CN29" s="140">
        <v>564.26976162241647</v>
      </c>
      <c r="CO29" s="140">
        <v>635.19228325603444</v>
      </c>
      <c r="CP29" s="140">
        <v>714.82871191816855</v>
      </c>
      <c r="CQ29" s="7"/>
      <c r="CR29" s="7"/>
      <c r="CS29" s="7"/>
      <c r="CT29" s="7"/>
      <c r="CU29" s="7"/>
      <c r="CV29" s="7"/>
      <c r="CW29" s="41"/>
      <c r="CX29" s="41"/>
      <c r="CY29" s="41"/>
      <c r="CZ29" s="41"/>
      <c r="DA29" s="19"/>
      <c r="DB29" s="60">
        <v>293.77508929681261</v>
      </c>
      <c r="DC29" s="60">
        <v>283.34014036321844</v>
      </c>
      <c r="DD29" s="60">
        <v>273.34106730260805</v>
      </c>
      <c r="DE29" s="60">
        <v>263.77858512867772</v>
      </c>
      <c r="DF29" s="60">
        <v>254.64131882533576</v>
      </c>
      <c r="DG29" s="40"/>
      <c r="DH29" s="40"/>
      <c r="DI29" s="40"/>
      <c r="DJ29" s="40"/>
      <c r="DK29" s="40"/>
      <c r="DL29" s="7"/>
      <c r="DM29" s="7"/>
      <c r="DN29" s="7">
        <v>4.0704000000000002</v>
      </c>
      <c r="DO29" s="7">
        <v>4.3146240000000002</v>
      </c>
      <c r="DP29" s="7">
        <v>4.5735014400000003</v>
      </c>
      <c r="DQ29" s="7">
        <v>4.8479115264000008</v>
      </c>
      <c r="DR29" s="7">
        <v>5.1387862179840011</v>
      </c>
      <c r="DS29" s="96">
        <v>0.35859649105050195</v>
      </c>
      <c r="DT29" s="96">
        <v>0.2150725613655744</v>
      </c>
      <c r="DU29" s="95">
        <v>0.18273634602821276</v>
      </c>
      <c r="DV29" s="95">
        <v>0.16811189467871901</v>
      </c>
      <c r="DW29" s="171">
        <v>1.212666213591719</v>
      </c>
      <c r="DX29" s="132">
        <v>1.3745584737705534</v>
      </c>
      <c r="DY29" s="132">
        <v>1.5557735807726325</v>
      </c>
      <c r="DZ29" s="132">
        <v>1.7585635837948614</v>
      </c>
      <c r="EA29" s="96">
        <v>-5.8589620000000002E-2</v>
      </c>
      <c r="EB29" s="95">
        <v>-7.2031650000000007E-5</v>
      </c>
      <c r="EC29" s="231">
        <v>-0.15110020000000002</v>
      </c>
      <c r="ED29" s="363">
        <v>7.8839712562133624E-2</v>
      </c>
      <c r="EE29" s="175">
        <v>7.4883844856739046E-3</v>
      </c>
      <c r="EF29" s="363">
        <v>8.6328097047807528E-2</v>
      </c>
      <c r="EG29" s="6">
        <v>4.9953423656813878E-2</v>
      </c>
      <c r="EH29" s="363">
        <v>0.13628152070462141</v>
      </c>
      <c r="EI29" s="6">
        <v>4.6454825323591353E-2</v>
      </c>
      <c r="EJ29" s="231">
        <v>0.18273634602821276</v>
      </c>
      <c r="EK29" s="6">
        <v>7.907222304294681E-2</v>
      </c>
      <c r="EL29" s="194">
        <v>0.12657195884134897</v>
      </c>
    </row>
    <row r="30" spans="2:142" x14ac:dyDescent="0.25">
      <c r="B30" s="38" t="s">
        <v>26</v>
      </c>
      <c r="D30" s="143">
        <v>46138</v>
      </c>
      <c r="E30" s="147"/>
      <c r="F30" s="149">
        <v>146.19999694824219</v>
      </c>
      <c r="G30" s="39">
        <v>118.553</v>
      </c>
      <c r="H30" s="25">
        <v>-184</v>
      </c>
      <c r="I30" s="2">
        <v>1197</v>
      </c>
      <c r="J30" s="2"/>
      <c r="K30" s="23">
        <v>1013</v>
      </c>
      <c r="L30" s="23">
        <v>18345.448238204957</v>
      </c>
      <c r="M30" s="3">
        <v>1861.1390759099791</v>
      </c>
      <c r="N30" s="3">
        <v>2236.1145301907227</v>
      </c>
      <c r="O30" s="3">
        <v>2491.0170915262347</v>
      </c>
      <c r="P30" s="3">
        <v>2655.7864481056044</v>
      </c>
      <c r="Q30" s="3">
        <v>2827.0571618315344</v>
      </c>
      <c r="R30" s="3">
        <v>3052.9133410166614</v>
      </c>
      <c r="S30" s="3">
        <v>3290.7753815638443</v>
      </c>
      <c r="T30" s="3">
        <v>3528.671449142962</v>
      </c>
      <c r="U30" s="3">
        <v>3772.9894518373644</v>
      </c>
      <c r="V30" s="4">
        <v>0.81859120343549729</v>
      </c>
      <c r="W30" s="4">
        <v>0.82807767902335006</v>
      </c>
      <c r="X30" s="4">
        <v>0.84503207492507315</v>
      </c>
      <c r="Y30" s="4">
        <v>0.85350513085115742</v>
      </c>
      <c r="Z30" s="4">
        <v>0.86080425998213328</v>
      </c>
      <c r="AA30" s="4">
        <v>0.86355093165376307</v>
      </c>
      <c r="AB30" s="4">
        <v>0.86611888108424273</v>
      </c>
      <c r="AC30" s="4">
        <v>0.8684173145299936</v>
      </c>
      <c r="AD30" s="4">
        <v>0.8705428562440235</v>
      </c>
      <c r="AE30" s="3">
        <v>1523.5120759099791</v>
      </c>
      <c r="AF30" s="3">
        <v>1851.6765301907226</v>
      </c>
      <c r="AG30" s="3">
        <v>2104.989341526235</v>
      </c>
      <c r="AH30" s="3">
        <v>2266.7273599031046</v>
      </c>
      <c r="AI30" s="3">
        <v>2433.5428481175841</v>
      </c>
      <c r="AJ30" s="3">
        <v>2636.3461598931403</v>
      </c>
      <c r="AK30" s="3">
        <v>2850.202691379649</v>
      </c>
      <c r="AL30" s="3">
        <v>3064.3593837233921</v>
      </c>
      <c r="AM30" s="3">
        <v>3284.5490139810718</v>
      </c>
      <c r="AN30" s="11"/>
      <c r="AO30" s="11"/>
      <c r="AP30" s="11">
        <v>6.1778348845858249</v>
      </c>
      <c r="AQ30" s="11">
        <v>7.3437059090604144</v>
      </c>
      <c r="AR30" s="11">
        <v>8.3307983935892373</v>
      </c>
      <c r="AS30" s="11">
        <v>9.6036501762115165</v>
      </c>
      <c r="AT30" s="11">
        <v>11.021448648764641</v>
      </c>
      <c r="AU30" s="11">
        <v>12.541703318992019</v>
      </c>
      <c r="AV30" s="11">
        <v>14.19794255871145</v>
      </c>
      <c r="AW30" s="11"/>
      <c r="AX30" s="11"/>
      <c r="AY30" s="11">
        <v>4.7460841893077443</v>
      </c>
      <c r="AZ30" s="18">
        <v>5.8959028703221747</v>
      </c>
      <c r="BA30" s="18">
        <v>6.7020629381102932</v>
      </c>
      <c r="BB30" s="18">
        <v>7.8675807525291557</v>
      </c>
      <c r="BC30" s="18">
        <v>9.1719798016971446</v>
      </c>
      <c r="BD30" s="18">
        <v>10.5749440645564</v>
      </c>
      <c r="BE30" s="18">
        <v>12.108709700491689</v>
      </c>
      <c r="BF30" s="5">
        <v>7.3646416560573602</v>
      </c>
      <c r="BG30" s="5">
        <v>6.9077271823910857</v>
      </c>
      <c r="BH30" s="5">
        <v>6.4892385219121973</v>
      </c>
      <c r="BI30" s="5">
        <v>6.0091611483789036</v>
      </c>
      <c r="BJ30" s="5">
        <v>5.5748102228377618</v>
      </c>
      <c r="BK30" s="5">
        <v>5.1989675158509501</v>
      </c>
      <c r="BL30" s="5">
        <v>4.8623110327729968</v>
      </c>
      <c r="BM30" s="5">
        <v>7.5385762171377806</v>
      </c>
      <c r="BN30" s="5">
        <v>6.9586644262787392</v>
      </c>
      <c r="BO30" s="5">
        <v>6.4365416163875659</v>
      </c>
      <c r="BP30" s="5">
        <v>5.986715636438853</v>
      </c>
      <c r="BQ30" s="5">
        <v>5.5853781326189331</v>
      </c>
      <c r="BR30" s="5">
        <v>17.549338015519236</v>
      </c>
      <c r="BS30" s="5">
        <v>15.22337801416208</v>
      </c>
      <c r="BT30" s="5">
        <v>13.265043607913491</v>
      </c>
      <c r="BU30" s="5">
        <v>11.657108546560032</v>
      </c>
      <c r="BV30" s="5">
        <v>10.297266406289133</v>
      </c>
      <c r="BW30" s="8">
        <v>21.814178454949662</v>
      </c>
      <c r="BX30" s="5">
        <v>18.582586127412029</v>
      </c>
      <c r="BY30" s="5">
        <v>15.939851603379017</v>
      </c>
      <c r="BZ30" s="5">
        <v>13.825131939775893</v>
      </c>
      <c r="CA30" s="378">
        <v>12.073953423980885</v>
      </c>
      <c r="CB30" t="s">
        <v>55</v>
      </c>
      <c r="CC30" s="12">
        <v>22</v>
      </c>
      <c r="CD30" s="12">
        <v>22</v>
      </c>
      <c r="CE30" s="167">
        <v>22</v>
      </c>
      <c r="CF30" s="12">
        <v>22</v>
      </c>
      <c r="CG30" s="12">
        <v>27</v>
      </c>
      <c r="CH30" s="46">
        <v>212.87635928934341</v>
      </c>
      <c r="CI30" s="46">
        <v>248.99809651232238</v>
      </c>
      <c r="CJ30" s="46">
        <v>289.89951222637353</v>
      </c>
      <c r="CK30" s="46">
        <v>335.02950344942121</v>
      </c>
      <c r="CL30" s="46">
        <v>384.35625684614109</v>
      </c>
      <c r="CM30" s="43">
        <v>173.08677655564142</v>
      </c>
      <c r="CN30" s="43">
        <v>201.78355563733717</v>
      </c>
      <c r="CO30" s="43">
        <v>232.6487694202408</v>
      </c>
      <c r="CP30" s="43">
        <v>266.39161341081717</v>
      </c>
      <c r="CQ30" s="7"/>
      <c r="CR30" s="7"/>
      <c r="CS30" s="7"/>
      <c r="CT30" s="7"/>
      <c r="CU30" s="7"/>
      <c r="CV30" s="7"/>
      <c r="CW30" s="19"/>
      <c r="CX30" s="19"/>
      <c r="CY30" s="19"/>
      <c r="CZ30" s="19"/>
      <c r="DA30" s="19"/>
      <c r="DB30" s="40">
        <v>119.26325507375057</v>
      </c>
      <c r="DC30" s="40">
        <v>115.58226575201832</v>
      </c>
      <c r="DD30" s="40">
        <v>111.99245174477619</v>
      </c>
      <c r="DE30" s="40">
        <v>108.44729147534846</v>
      </c>
      <c r="DF30" s="40">
        <v>104.98720138942893</v>
      </c>
      <c r="DG30" s="40"/>
      <c r="DH30" s="40"/>
      <c r="DI30" s="40"/>
      <c r="DJ30" s="40"/>
      <c r="DK30" s="40"/>
      <c r="DL30" s="7"/>
      <c r="DM30" s="7"/>
      <c r="DN30" s="7"/>
      <c r="DO30" s="7"/>
      <c r="DP30" s="7"/>
      <c r="DQ30" s="7"/>
      <c r="DR30" s="7"/>
      <c r="DS30" s="78">
        <v>0.31343756844927984</v>
      </c>
      <c r="DT30" s="78">
        <v>0.2201847175165712</v>
      </c>
      <c r="DU30" s="6">
        <v>0.19406859948830091</v>
      </c>
      <c r="DV30" s="6">
        <v>0.18031490050610888</v>
      </c>
      <c r="DW30" s="171">
        <v>1.1839041051205883</v>
      </c>
      <c r="DX30" s="132">
        <v>1.3801885078614107</v>
      </c>
      <c r="DY30" s="132">
        <v>1.5913048856122975</v>
      </c>
      <c r="DZ30" s="132">
        <v>1.8221040969318576</v>
      </c>
      <c r="EA30" s="78">
        <v>4.6228669999999999E-2</v>
      </c>
      <c r="EB30" s="6">
        <v>-5.3078170000000001E-2</v>
      </c>
      <c r="EC30" s="194">
        <v>-0.14970340000000001</v>
      </c>
      <c r="ED30" s="363">
        <v>7.5941897834039596E-2</v>
      </c>
      <c r="EE30" s="175">
        <v>4.9662929831570946E-2</v>
      </c>
      <c r="EF30" s="363">
        <v>0.12560482766561054</v>
      </c>
      <c r="EG30" s="6">
        <v>3.5816723762503999E-2</v>
      </c>
      <c r="EH30" s="363">
        <v>0.16142155142811454</v>
      </c>
      <c r="EI30" s="6">
        <v>3.2647048060186368E-2</v>
      </c>
      <c r="EJ30" s="194">
        <v>0.19406859948830091</v>
      </c>
      <c r="EK30" s="6"/>
      <c r="EL30" s="194"/>
    </row>
    <row r="31" spans="2:142" x14ac:dyDescent="0.25">
      <c r="B31" s="142" t="s">
        <v>40</v>
      </c>
      <c r="C31" s="290">
        <v>1</v>
      </c>
      <c r="D31" s="143">
        <v>45994</v>
      </c>
      <c r="F31" s="246">
        <v>94.06</v>
      </c>
      <c r="G31" s="25">
        <v>527</v>
      </c>
      <c r="H31" s="25">
        <v>-3949</v>
      </c>
      <c r="I31" s="88">
        <v>11804</v>
      </c>
      <c r="K31" s="76">
        <v>7855</v>
      </c>
      <c r="L31" s="89">
        <v>57424.62</v>
      </c>
      <c r="M31" s="3">
        <v>7428</v>
      </c>
      <c r="N31" s="3">
        <v>8009</v>
      </c>
      <c r="O31" s="3">
        <v>8494</v>
      </c>
      <c r="P31" s="3">
        <v>8986</v>
      </c>
      <c r="Q31" s="3">
        <v>9659.1734500000002</v>
      </c>
      <c r="R31" s="3">
        <v>10357.270659169542</v>
      </c>
      <c r="S31" s="3">
        <v>11113.277096985054</v>
      </c>
      <c r="T31" s="3">
        <v>11932.294503048175</v>
      </c>
      <c r="U31" s="3">
        <v>12819.889107750785</v>
      </c>
      <c r="V31" s="90">
        <v>0.87</v>
      </c>
      <c r="W31" s="90">
        <v>0.87</v>
      </c>
      <c r="X31" s="90">
        <v>0.87</v>
      </c>
      <c r="Y31" s="90">
        <v>0.87</v>
      </c>
      <c r="Z31" s="90">
        <v>0.87</v>
      </c>
      <c r="AA31" s="90">
        <v>0.87</v>
      </c>
      <c r="AB31" s="90">
        <v>0.87</v>
      </c>
      <c r="AC31" s="90">
        <v>0.87</v>
      </c>
      <c r="AD31" s="90">
        <v>0.87</v>
      </c>
      <c r="AE31" s="144">
        <v>6462.36</v>
      </c>
      <c r="AF31" s="144">
        <v>6967.83</v>
      </c>
      <c r="AG31" s="144">
        <v>7389.78</v>
      </c>
      <c r="AH31" s="144">
        <v>7817.82</v>
      </c>
      <c r="AI31" s="144">
        <v>8403.480901500001</v>
      </c>
      <c r="AJ31" s="144">
        <v>9010.8254734775019</v>
      </c>
      <c r="AK31" s="144">
        <v>9668.5510743769973</v>
      </c>
      <c r="AL31" s="144">
        <v>10381.096217651912</v>
      </c>
      <c r="AM31" s="144">
        <v>11153.303523743183</v>
      </c>
      <c r="AN31" s="11">
        <v>3.1779999999999999</v>
      </c>
      <c r="AO31" s="11">
        <v>3.2389999999999999</v>
      </c>
      <c r="AP31" s="11">
        <v>3.6349999999999998</v>
      </c>
      <c r="AQ31" s="11">
        <v>4.2060000000000004</v>
      </c>
      <c r="AR31" s="11">
        <v>4.6016561645683751</v>
      </c>
      <c r="AS31" s="11">
        <v>5.1498970810976781</v>
      </c>
      <c r="AT31" s="11">
        <v>5.9086919214913722</v>
      </c>
      <c r="AU31" s="11">
        <v>6.7569185031844068</v>
      </c>
      <c r="AV31" s="11">
        <v>7.7070950499038489</v>
      </c>
      <c r="AW31" s="145">
        <v>3.1779999999999999</v>
      </c>
      <c r="AX31" s="145">
        <v>3.2389999999999999</v>
      </c>
      <c r="AY31" s="145">
        <v>3.6349999999999998</v>
      </c>
      <c r="AZ31" s="145">
        <v>4.2060000000000004</v>
      </c>
      <c r="BA31" s="145">
        <v>4.6016561645683751</v>
      </c>
      <c r="BB31" s="145">
        <v>5.1498970810976781</v>
      </c>
      <c r="BC31" s="145">
        <v>5.9086919214913722</v>
      </c>
      <c r="BD31" s="145">
        <v>6.7569185031844068</v>
      </c>
      <c r="BE31" s="145">
        <v>7.7070950499038489</v>
      </c>
      <c r="BF31" s="5">
        <v>6.7606098422415828</v>
      </c>
      <c r="BG31" s="5">
        <v>6.3904540396171825</v>
      </c>
      <c r="BH31" s="5">
        <v>5.9450863262011309</v>
      </c>
      <c r="BI31" s="5">
        <v>5.5443776540840517</v>
      </c>
      <c r="BJ31" s="5">
        <v>5.1672085109421833</v>
      </c>
      <c r="BK31" s="5">
        <v>4.8125379393988759</v>
      </c>
      <c r="BL31" s="5">
        <v>4.4793382779950583</v>
      </c>
      <c r="BM31" s="5">
        <v>6.8334325588518734</v>
      </c>
      <c r="BN31" s="5">
        <v>6.37284787825753</v>
      </c>
      <c r="BO31" s="5">
        <v>5.9393201275197498</v>
      </c>
      <c r="BP31" s="5">
        <v>5.5316528039067547</v>
      </c>
      <c r="BQ31" s="5">
        <v>5.1486646873506414</v>
      </c>
      <c r="BR31" s="5">
        <v>20.440466787640275</v>
      </c>
      <c r="BS31" s="5">
        <v>18.264442671143929</v>
      </c>
      <c r="BT31" s="5">
        <v>15.918921014967889</v>
      </c>
      <c r="BU31" s="5">
        <v>13.920546763390933</v>
      </c>
      <c r="BV31" s="5">
        <v>12.20433890992086</v>
      </c>
      <c r="BW31" s="8">
        <v>20.440466787640275</v>
      </c>
      <c r="BX31" s="5">
        <v>18.264442671143929</v>
      </c>
      <c r="BY31" s="5">
        <v>15.918921014967889</v>
      </c>
      <c r="BZ31" s="5">
        <v>13.920546763390933</v>
      </c>
      <c r="CA31" s="378">
        <v>12.20433890992086</v>
      </c>
      <c r="CB31" t="s">
        <v>31</v>
      </c>
      <c r="CC31" s="82">
        <v>22</v>
      </c>
      <c r="CD31" s="82">
        <v>22</v>
      </c>
      <c r="CE31" s="168">
        <v>22</v>
      </c>
      <c r="CF31" s="82">
        <v>22</v>
      </c>
      <c r="CG31" s="82">
        <v>24</v>
      </c>
      <c r="CH31" s="91"/>
      <c r="CI31" s="91"/>
      <c r="CJ31" s="91"/>
      <c r="CK31" s="91"/>
      <c r="CL31" s="91"/>
      <c r="CM31" s="92">
        <v>113.29773578414891</v>
      </c>
      <c r="CN31" s="92">
        <v>129.99122227281018</v>
      </c>
      <c r="CO31" s="92">
        <v>148.65220707005696</v>
      </c>
      <c r="CP31" s="92">
        <v>169.55609109788469</v>
      </c>
      <c r="CQ31" s="93"/>
      <c r="CR31" s="93"/>
      <c r="CS31" s="93"/>
      <c r="CT31" s="93"/>
      <c r="CU31" s="93"/>
      <c r="CV31" s="93"/>
      <c r="CW31" s="92"/>
      <c r="CX31" s="92"/>
      <c r="CY31" s="92"/>
      <c r="CZ31" s="92"/>
      <c r="DA31" s="92"/>
      <c r="DB31" s="243">
        <v>509.24246042280845</v>
      </c>
      <c r="DC31" s="243">
        <v>477.56504861153945</v>
      </c>
      <c r="DD31" s="243">
        <v>452.12571712642205</v>
      </c>
      <c r="DE31" s="243">
        <v>429.72616729697756</v>
      </c>
      <c r="DF31" s="243">
        <v>408.66850662311367</v>
      </c>
      <c r="DG31" s="94"/>
      <c r="DH31" s="94"/>
      <c r="DI31" s="94"/>
      <c r="DJ31" s="94"/>
      <c r="DK31" s="94"/>
      <c r="DL31" s="93"/>
      <c r="DM31" s="93"/>
      <c r="DN31" s="93">
        <v>1.6763268374492155</v>
      </c>
      <c r="DO31" s="93">
        <v>1.9279932953802303</v>
      </c>
      <c r="DP31" s="93">
        <v>2.2094085348114305</v>
      </c>
      <c r="DQ31" s="93">
        <v>2.5236532931515163</v>
      </c>
      <c r="DR31" s="93">
        <v>2.8745860667184213</v>
      </c>
      <c r="DS31" s="96">
        <v>0.3706238809956437</v>
      </c>
      <c r="DT31" s="96">
        <v>0.23830904762858762</v>
      </c>
      <c r="DU31" s="95">
        <v>0.20660031465951545</v>
      </c>
      <c r="DV31" s="95">
        <v>0.19134524385652396</v>
      </c>
      <c r="DW31" s="171">
        <v>1.2223481035679153</v>
      </c>
      <c r="DX31" s="132">
        <v>1.4203225856436275</v>
      </c>
      <c r="DY31" s="132">
        <v>1.6422064186444589</v>
      </c>
      <c r="DZ31" s="132">
        <v>1.8912765581403048</v>
      </c>
      <c r="EA31" s="96">
        <v>-5.2876480000000007E-3</v>
      </c>
      <c r="EB31" s="95">
        <v>0.2093083</v>
      </c>
      <c r="EC31" s="231">
        <v>0.1210965</v>
      </c>
      <c r="ED31" s="363">
        <v>7.2854995783256715E-2</v>
      </c>
      <c r="EE31" s="175">
        <v>4.7214208555859116E-3</v>
      </c>
      <c r="EF31" s="363">
        <v>7.7576416638842627E-2</v>
      </c>
      <c r="EG31" s="6">
        <v>8.293479717624816E-2</v>
      </c>
      <c r="EH31" s="363">
        <v>0.16051121381509079</v>
      </c>
      <c r="EI31" s="6">
        <v>4.6089100844424663E-2</v>
      </c>
      <c r="EJ31" s="231">
        <v>0.20660031465951545</v>
      </c>
      <c r="EK31" s="95">
        <v>7.2987509209937906E-2</v>
      </c>
      <c r="EL31" s="231">
        <v>0.13661008520515905</v>
      </c>
    </row>
    <row r="32" spans="2:142" x14ac:dyDescent="0.25">
      <c r="B32" s="38" t="s">
        <v>79</v>
      </c>
      <c r="D32" s="239">
        <v>45901</v>
      </c>
      <c r="F32" s="245">
        <v>183.875</v>
      </c>
      <c r="G32" s="25">
        <v>940</v>
      </c>
      <c r="H32" s="25">
        <v>-11323</v>
      </c>
      <c r="I32" s="2">
        <v>8438</v>
      </c>
      <c r="K32" s="23">
        <v>-2885</v>
      </c>
      <c r="L32" s="24">
        <v>169957.5</v>
      </c>
      <c r="M32" s="3">
        <v>31352</v>
      </c>
      <c r="N32" s="3">
        <v>34857</v>
      </c>
      <c r="O32" s="3">
        <v>37895</v>
      </c>
      <c r="P32" s="3">
        <v>41116.074999999997</v>
      </c>
      <c r="Q32" s="3">
        <v>44405.360999999997</v>
      </c>
      <c r="R32" s="3">
        <v>47735.763074999995</v>
      </c>
      <c r="S32" s="3">
        <v>51077.266490249996</v>
      </c>
      <c r="T32" s="3">
        <v>54397.288812116247</v>
      </c>
      <c r="U32" s="3">
        <v>57661.126140843226</v>
      </c>
      <c r="V32" s="21">
        <v>0.78227864251084456</v>
      </c>
      <c r="W32" s="21">
        <v>0.79539260406804946</v>
      </c>
      <c r="X32" s="21">
        <v>0.80538329594933367</v>
      </c>
      <c r="Y32" s="21">
        <v>0.81038329594933367</v>
      </c>
      <c r="Z32" s="21">
        <v>0.81538329594933368</v>
      </c>
      <c r="AA32" s="21">
        <v>0.82038329594933368</v>
      </c>
      <c r="AB32" s="21">
        <v>0.82538329594933368</v>
      </c>
      <c r="AC32" s="21">
        <v>0.83038329594933369</v>
      </c>
      <c r="AD32" s="21">
        <v>0.83538329594933369</v>
      </c>
      <c r="AE32" s="144">
        <v>24526</v>
      </c>
      <c r="AF32" s="144">
        <v>27725</v>
      </c>
      <c r="AG32" s="144">
        <v>30520</v>
      </c>
      <c r="AH32" s="144">
        <v>33319.780374999995</v>
      </c>
      <c r="AI32" s="144">
        <v>36207.389609999998</v>
      </c>
      <c r="AJ32" s="144">
        <v>39161.622646124997</v>
      </c>
      <c r="AK32" s="144">
        <v>42158.322563804999</v>
      </c>
      <c r="AL32" s="144">
        <v>45170.599974512901</v>
      </c>
      <c r="AM32" s="144">
        <v>48169.141603687895</v>
      </c>
      <c r="AN32" s="11">
        <v>5.2397191574724173</v>
      </c>
      <c r="AO32" s="11">
        <v>8.2184959349593498</v>
      </c>
      <c r="AP32" s="11">
        <v>10.195071868583161</v>
      </c>
      <c r="AQ32" s="11">
        <v>11.443808585223104</v>
      </c>
      <c r="AR32" s="11">
        <v>13.15269076858513</v>
      </c>
      <c r="AS32" s="11">
        <v>14.993792385481447</v>
      </c>
      <c r="AT32" s="11">
        <v>16.873156525342441</v>
      </c>
      <c r="AU32" s="11">
        <v>18.777427103670629</v>
      </c>
      <c r="AV32" s="11">
        <v>20.662040886158422</v>
      </c>
      <c r="AW32" s="145">
        <v>2.6902648824347035</v>
      </c>
      <c r="AX32" s="145">
        <v>6.0517238064254633</v>
      </c>
      <c r="AY32" s="145">
        <v>7.646103699727596</v>
      </c>
      <c r="AZ32" s="145">
        <v>8.656132692852573</v>
      </c>
      <c r="BA32" s="145">
        <v>10.182365991873477</v>
      </c>
      <c r="BB32" s="145">
        <v>11.74880878134535</v>
      </c>
      <c r="BC32" s="145">
        <v>13.35134076729746</v>
      </c>
      <c r="BD32" s="145">
        <v>14.975576236385848</v>
      </c>
      <c r="BE32" s="145">
        <v>16.581743551349835</v>
      </c>
      <c r="BM32" s="5">
        <v>4.6940003637561327</v>
      </c>
      <c r="BN32" s="5">
        <v>4.3398993329715134</v>
      </c>
      <c r="BO32" s="5">
        <v>4.0314103992817989</v>
      </c>
      <c r="BP32" s="5">
        <v>3.7625690182529561</v>
      </c>
      <c r="BQ32" s="5">
        <v>3.5283481154455081</v>
      </c>
      <c r="BR32" s="5">
        <v>13.980029123712146</v>
      </c>
      <c r="BS32" s="5">
        <v>12.263408434149518</v>
      </c>
      <c r="BT32" s="5">
        <v>10.897486769818741</v>
      </c>
      <c r="BU32" s="5">
        <v>9.7923426348467064</v>
      </c>
      <c r="BV32" s="5">
        <v>8.8991693034146753</v>
      </c>
      <c r="BW32" s="8">
        <v>18.058180205538694</v>
      </c>
      <c r="BX32" s="5">
        <v>15.650522825084618</v>
      </c>
      <c r="BY32" s="5">
        <v>13.772025087576239</v>
      </c>
      <c r="BZ32" s="5">
        <v>12.278325528018263</v>
      </c>
      <c r="CA32" s="378">
        <v>11.089002759606162</v>
      </c>
      <c r="CC32" s="12">
        <v>20</v>
      </c>
      <c r="CD32" s="12">
        <v>20</v>
      </c>
      <c r="CE32" s="167">
        <v>20</v>
      </c>
      <c r="CF32" s="12">
        <v>20</v>
      </c>
      <c r="CG32" s="12">
        <v>25</v>
      </c>
      <c r="CH32" s="46">
        <v>293.72021953363372</v>
      </c>
      <c r="CI32" s="46">
        <v>333.78351918243652</v>
      </c>
      <c r="CJ32" s="46">
        <v>374.3894059096462</v>
      </c>
      <c r="CK32" s="46">
        <v>414.54358878374586</v>
      </c>
      <c r="CL32" s="46">
        <v>453.06825680014384</v>
      </c>
      <c r="CM32" s="43">
        <v>234.97617562690698</v>
      </c>
      <c r="CN32" s="43">
        <v>267.02681534594922</v>
      </c>
      <c r="CO32" s="43">
        <v>299.51152472771696</v>
      </c>
      <c r="CP32" s="43">
        <v>331.63487102699668</v>
      </c>
      <c r="DB32" s="42">
        <v>944.51984846111998</v>
      </c>
      <c r="DC32" s="42">
        <v>917.94350272935003</v>
      </c>
      <c r="DD32" s="42">
        <v>893.68137840247664</v>
      </c>
      <c r="DE32" s="42">
        <v>870.50522675887214</v>
      </c>
      <c r="DF32" s="42">
        <v>848.74384189492025</v>
      </c>
      <c r="DN32" s="61">
        <v>1.8399999999999999</v>
      </c>
      <c r="DO32" s="61">
        <v>2.1159999999999997</v>
      </c>
      <c r="DP32" s="61">
        <v>2.4333999999999993</v>
      </c>
      <c r="DQ32" s="61">
        <v>2.7984099999999992</v>
      </c>
      <c r="DR32" s="61">
        <v>3.2181714999999986</v>
      </c>
      <c r="DS32" s="78">
        <v>0.49760272832064034</v>
      </c>
      <c r="DT32" s="78">
        <v>0.26858827863243007</v>
      </c>
      <c r="DU32" s="6">
        <v>0.21344345379361473</v>
      </c>
      <c r="DV32" s="6">
        <v>0.1852353668801443</v>
      </c>
      <c r="DW32" s="171">
        <v>1.2879193779845384</v>
      </c>
      <c r="DX32" s="132">
        <v>1.473733869998364</v>
      </c>
      <c r="DY32" s="132">
        <v>1.6636352126592355</v>
      </c>
      <c r="DZ32" s="132">
        <v>1.8535563889979423</v>
      </c>
      <c r="EA32" s="78">
        <v>9.9374140000000003E-3</v>
      </c>
      <c r="EB32" s="6">
        <v>-7.231871E-3</v>
      </c>
      <c r="EC32" s="194">
        <v>-0.1927769</v>
      </c>
      <c r="ED32" s="363">
        <v>6.901292622966726E-2</v>
      </c>
      <c r="EE32" s="175">
        <v>3.49170784708146E-2</v>
      </c>
      <c r="EF32" s="363">
        <v>0.10393000470048186</v>
      </c>
      <c r="EG32" s="6">
        <v>4.2209350665236067E-2</v>
      </c>
      <c r="EH32" s="363">
        <v>0.14613935536571793</v>
      </c>
      <c r="EI32" s="6">
        <v>6.7304098427896808E-2</v>
      </c>
      <c r="EJ32" s="194">
        <v>0.21344345379361473</v>
      </c>
      <c r="EK32" s="6"/>
      <c r="EL32" s="194"/>
    </row>
    <row r="33" spans="2:142" x14ac:dyDescent="0.25">
      <c r="B33" s="38" t="s">
        <v>159</v>
      </c>
      <c r="D33" s="186">
        <v>46119</v>
      </c>
      <c r="E33" s="147"/>
      <c r="F33" s="149">
        <v>78.375</v>
      </c>
      <c r="G33" s="3">
        <v>443.83499999999998</v>
      </c>
      <c r="H33" s="25">
        <v>-2312</v>
      </c>
      <c r="I33" s="3">
        <v>9042</v>
      </c>
      <c r="J33" s="3"/>
      <c r="K33" s="76">
        <v>6730</v>
      </c>
      <c r="L33" s="76">
        <v>41515.568124999998</v>
      </c>
      <c r="M33" s="3">
        <v>8080</v>
      </c>
      <c r="N33" s="3">
        <v>8544</v>
      </c>
      <c r="O33" s="3">
        <v>9256</v>
      </c>
      <c r="P33" s="3">
        <v>9467</v>
      </c>
      <c r="Q33" s="3">
        <v>9854.4734482049607</v>
      </c>
      <c r="R33" s="3">
        <v>10398.411332757769</v>
      </c>
      <c r="S33" s="3">
        <v>11056.024870237046</v>
      </c>
      <c r="T33" s="3">
        <v>11971.287497969332</v>
      </c>
      <c r="U33" s="3">
        <v>13027.291673030672</v>
      </c>
      <c r="V33" s="21">
        <v>0.69801980198019797</v>
      </c>
      <c r="W33" s="21">
        <v>0.70177902621722843</v>
      </c>
      <c r="X33" s="21">
        <v>0.70678478824546243</v>
      </c>
      <c r="Y33" s="21">
        <v>0.71934086827928589</v>
      </c>
      <c r="Z33" s="21">
        <v>0.72054637150066392</v>
      </c>
      <c r="AA33" s="21">
        <v>0.72208708227518992</v>
      </c>
      <c r="AB33" s="21">
        <v>0.72374734559603282</v>
      </c>
      <c r="AC33" s="21">
        <v>0.72575448755622696</v>
      </c>
      <c r="AD33" s="21">
        <v>0.72771985096481107</v>
      </c>
      <c r="AE33" s="144">
        <v>5640</v>
      </c>
      <c r="AF33" s="144">
        <v>5996</v>
      </c>
      <c r="AG33" s="144">
        <v>6542</v>
      </c>
      <c r="AH33" s="144">
        <v>6810</v>
      </c>
      <c r="AI33" s="144">
        <v>7100.6050861537205</v>
      </c>
      <c r="AJ33" s="144">
        <v>7508.5584995683266</v>
      </c>
      <c r="AK33" s="144">
        <v>8001.7686526777852</v>
      </c>
      <c r="AL33" s="144">
        <v>8688.2156234769991</v>
      </c>
      <c r="AM33" s="144">
        <v>9480.2187547730045</v>
      </c>
      <c r="AN33" s="11">
        <v>4.883233946660714</v>
      </c>
      <c r="AO33" s="11">
        <v>5.3147306943543153</v>
      </c>
      <c r="AP33" s="11">
        <v>5.9212840809146874</v>
      </c>
      <c r="AQ33" s="11">
        <v>6.4145459461286292</v>
      </c>
      <c r="AR33" s="11">
        <v>6.6244047180360681</v>
      </c>
      <c r="AS33" s="11">
        <v>7.2631675260413004</v>
      </c>
      <c r="AT33" s="11">
        <v>8.0798036104178514</v>
      </c>
      <c r="AU33" s="11">
        <v>9.1971697927041181</v>
      </c>
      <c r="AV33" s="11">
        <v>10.515168730382952</v>
      </c>
      <c r="AW33" s="11">
        <v>4.7514270225453616</v>
      </c>
      <c r="AX33" s="11">
        <v>5.1849448410123298</v>
      </c>
      <c r="AY33" s="11">
        <v>5.7585751978891819</v>
      </c>
      <c r="AZ33" s="11">
        <v>6.227539513557967</v>
      </c>
      <c r="BA33" s="11">
        <v>6.4250916267108149</v>
      </c>
      <c r="BB33" s="11">
        <v>7.0481790189630598</v>
      </c>
      <c r="BC33" s="11">
        <v>7.8463899697765473</v>
      </c>
      <c r="BD33" s="11">
        <v>8.9391736276407947</v>
      </c>
      <c r="BE33" s="11">
        <v>10.228619206490722</v>
      </c>
      <c r="BF33" s="5">
        <v>4.485260169079516</v>
      </c>
      <c r="BG33" s="5">
        <v>4.3852929254251611</v>
      </c>
      <c r="BH33" s="5">
        <v>4.2128651868824365</v>
      </c>
      <c r="BI33" s="5">
        <v>3.9924914293604532</v>
      </c>
      <c r="BJ33" s="5">
        <v>3.7550176136778068</v>
      </c>
      <c r="BK33" s="5">
        <v>3.4679284188974839</v>
      </c>
      <c r="BL33" s="5">
        <v>3.1868149702171986</v>
      </c>
      <c r="BM33" s="5">
        <v>5.8467648350076447</v>
      </c>
      <c r="BN33" s="5">
        <v>5.5290996437447699</v>
      </c>
      <c r="BO33" s="5">
        <v>5.1882989782648679</v>
      </c>
      <c r="BP33" s="5">
        <v>4.7783768179990895</v>
      </c>
      <c r="BQ33" s="5">
        <v>4.3791782867983038</v>
      </c>
      <c r="BR33" s="5">
        <v>11.831251763137409</v>
      </c>
      <c r="BS33" s="5">
        <v>10.790746560504756</v>
      </c>
      <c r="BT33" s="5">
        <v>9.7001120050672611</v>
      </c>
      <c r="BU33" s="5">
        <v>8.5216432627103291</v>
      </c>
      <c r="BV33" s="5">
        <v>7.4535180565900117</v>
      </c>
      <c r="BW33" s="8">
        <v>12.198269620650121</v>
      </c>
      <c r="BX33" s="5">
        <v>11.119893491515013</v>
      </c>
      <c r="BY33" s="5">
        <v>9.9886699873307467</v>
      </c>
      <c r="BZ33" s="5">
        <v>8.7675889589678491</v>
      </c>
      <c r="CA33" s="378">
        <v>7.6623245442812049</v>
      </c>
      <c r="CC33" s="12">
        <v>17</v>
      </c>
      <c r="CD33" s="376">
        <v>17</v>
      </c>
      <c r="CE33" s="12">
        <v>17</v>
      </c>
      <c r="CF33" s="12">
        <v>17</v>
      </c>
      <c r="CG33" s="82">
        <v>17</v>
      </c>
      <c r="CH33" s="46"/>
      <c r="CI33" s="46"/>
      <c r="CJ33" s="46"/>
      <c r="CK33" s="46"/>
      <c r="CL33" s="46"/>
      <c r="CM33" s="43">
        <v>119.81904332237201</v>
      </c>
      <c r="CN33" s="43">
        <v>133.3886294862013</v>
      </c>
      <c r="CO33" s="43">
        <v>151.96595166989351</v>
      </c>
      <c r="CP33" s="43">
        <v>173.88652651034226</v>
      </c>
      <c r="CQ33" s="7"/>
      <c r="CR33" s="7"/>
      <c r="CS33" s="7"/>
      <c r="CT33" s="7"/>
      <c r="CU33" s="7"/>
      <c r="CV33" s="7"/>
      <c r="CW33" s="41"/>
      <c r="CX33" s="41"/>
      <c r="CY33" s="41"/>
      <c r="CZ33" s="41"/>
      <c r="DA33" s="19"/>
      <c r="DB33" s="40">
        <v>433.47426000447155</v>
      </c>
      <c r="DC33" s="40">
        <v>424.05038740747284</v>
      </c>
      <c r="DD33" s="40">
        <v>415.27758443811967</v>
      </c>
      <c r="DE33" s="40">
        <v>406.81159759648955</v>
      </c>
      <c r="DF33" s="40">
        <v>398.58427503151796</v>
      </c>
      <c r="DG33" s="40">
        <v>6730</v>
      </c>
      <c r="DH33" s="40">
        <v>6730</v>
      </c>
      <c r="DI33" s="40">
        <v>6730</v>
      </c>
      <c r="DJ33" s="40">
        <v>6730</v>
      </c>
      <c r="DK33" s="40">
        <v>6730</v>
      </c>
      <c r="DL33" s="7"/>
      <c r="DM33" s="7"/>
      <c r="DN33" s="7">
        <v>2.3344999999999998</v>
      </c>
      <c r="DO33" s="7">
        <v>2.6846749999999995</v>
      </c>
      <c r="DP33" s="7">
        <v>3.0873762499999993</v>
      </c>
      <c r="DQ33" s="7">
        <v>3.5504826874999988</v>
      </c>
      <c r="DR33" s="7">
        <v>4.0830550906249981</v>
      </c>
      <c r="DS33" s="78">
        <v>1.0236789584227042</v>
      </c>
      <c r="DT33" s="78">
        <v>0.41516686454523333</v>
      </c>
      <c r="DU33" s="6">
        <v>0.31065201875754034</v>
      </c>
      <c r="DV33" s="6">
        <v>0.26717375972715018</v>
      </c>
      <c r="DW33" s="171">
        <v>1.5585779052296269</v>
      </c>
      <c r="DX33" s="132">
        <v>1.7659687972721057</v>
      </c>
      <c r="DY33" s="132">
        <v>2.0423923817530274</v>
      </c>
      <c r="DZ33" s="132">
        <v>2.3673819514876207</v>
      </c>
      <c r="EA33" s="78">
        <v>-0.35986269999999998</v>
      </c>
      <c r="EB33" s="6">
        <v>-0.38450659999999998</v>
      </c>
      <c r="EC33" s="194">
        <v>-0.33088489999999998</v>
      </c>
      <c r="ED33" s="363">
        <v>6.8600959534416805E-2</v>
      </c>
      <c r="EE33" s="175">
        <v>2.7059768551987107E-2</v>
      </c>
      <c r="EF33" s="363">
        <v>9.5660728086403912E-2</v>
      </c>
      <c r="EG33" s="6">
        <v>5.9939749195746156E-2</v>
      </c>
      <c r="EH33" s="363">
        <v>0.15560047728215007</v>
      </c>
      <c r="EI33" s="6">
        <v>0.15505154147539027</v>
      </c>
      <c r="EJ33" s="194">
        <v>0.31065201875754034</v>
      </c>
      <c r="EK33" s="6">
        <v>6.9576232749883671E-2</v>
      </c>
      <c r="EL33" s="194">
        <v>0.11636449526361048</v>
      </c>
    </row>
    <row r="34" spans="2:142" x14ac:dyDescent="0.25">
      <c r="B34" s="38" t="s">
        <v>38</v>
      </c>
      <c r="D34" s="143">
        <v>45990</v>
      </c>
      <c r="F34" s="247">
        <v>20.389999389648438</v>
      </c>
      <c r="G34" s="25">
        <v>1328</v>
      </c>
      <c r="H34" s="25">
        <v>-3910</v>
      </c>
      <c r="I34" s="2">
        <v>2588</v>
      </c>
      <c r="J34" s="237">
        <v>5.5</v>
      </c>
      <c r="K34" s="76">
        <v>-1322</v>
      </c>
      <c r="L34" s="76">
        <v>25761.419189453125</v>
      </c>
      <c r="M34" s="3">
        <v>5665.5263825156799</v>
      </c>
      <c r="N34" s="3">
        <v>5951.3991358217063</v>
      </c>
      <c r="O34" s="3">
        <v>6213.5793619444003</v>
      </c>
      <c r="P34" s="3">
        <v>6239.5743315210157</v>
      </c>
      <c r="Q34" s="3">
        <v>6347.1427721881064</v>
      </c>
      <c r="R34" s="3">
        <v>6759.7070523803332</v>
      </c>
      <c r="S34" s="3">
        <v>7199.0880107850553</v>
      </c>
      <c r="T34" s="3">
        <v>7703.0241715400089</v>
      </c>
      <c r="U34" s="3">
        <v>8242.2358635478104</v>
      </c>
      <c r="V34" s="4">
        <v>0.83939678605257184</v>
      </c>
      <c r="W34" s="4">
        <v>0.8396263719489897</v>
      </c>
      <c r="X34" s="4">
        <v>0.8391415460328755</v>
      </c>
      <c r="Y34" s="4">
        <v>0.84040682793885157</v>
      </c>
      <c r="Z34" s="4">
        <v>0.84</v>
      </c>
      <c r="AA34" s="4">
        <v>0.84</v>
      </c>
      <c r="AB34" s="4">
        <v>0.84</v>
      </c>
      <c r="AC34" s="4">
        <v>0.84</v>
      </c>
      <c r="AD34" s="4">
        <v>0.84</v>
      </c>
      <c r="AE34" s="3">
        <v>4755.6246367797157</v>
      </c>
      <c r="AF34" s="3">
        <v>4996.9516644303321</v>
      </c>
      <c r="AG34" s="3">
        <v>5214.0725921799922</v>
      </c>
      <c r="AH34" s="3">
        <v>5243.7808716422569</v>
      </c>
      <c r="AI34" s="3">
        <v>5331.5999286380093</v>
      </c>
      <c r="AJ34" s="3">
        <v>5678.15392399948</v>
      </c>
      <c r="AK34" s="3">
        <v>6047.2339290594464</v>
      </c>
      <c r="AL34" s="3">
        <v>6470.5403040936071</v>
      </c>
      <c r="AM34" s="3">
        <v>6923.4781253801602</v>
      </c>
      <c r="AN34" s="223">
        <v>1.1346955395960416</v>
      </c>
      <c r="AO34" s="223">
        <v>1.1952827204769103</v>
      </c>
      <c r="AP34" s="223">
        <v>1.2788021469304727</v>
      </c>
      <c r="AQ34" s="223">
        <v>1.3076858338567257</v>
      </c>
      <c r="AR34" s="223">
        <v>1.33626934100348</v>
      </c>
      <c r="AS34" s="223">
        <v>1.4388746345522332</v>
      </c>
      <c r="AT34" s="223">
        <v>1.5697437697986787</v>
      </c>
      <c r="AU34" s="223">
        <v>1.7210108999834823</v>
      </c>
      <c r="AV34" s="223">
        <v>1.8709968748051311</v>
      </c>
      <c r="AW34" s="223">
        <v>1.0342553071310174</v>
      </c>
      <c r="AX34" s="223">
        <v>1.049260552797272</v>
      </c>
      <c r="AY34" s="223">
        <v>1.1293072515263849</v>
      </c>
      <c r="AZ34" s="238">
        <v>1.1523712655784828</v>
      </c>
      <c r="BA34" s="238">
        <v>1.1791617283698124</v>
      </c>
      <c r="BB34" s="238">
        <v>1.2729798899345841</v>
      </c>
      <c r="BC34" s="238">
        <v>1.3930658667808822</v>
      </c>
      <c r="BD34" s="238">
        <v>1.5366916776601665</v>
      </c>
      <c r="BE34" s="238">
        <v>1.673775306919183</v>
      </c>
      <c r="BF34" s="5">
        <v>4.1459869889537657</v>
      </c>
      <c r="BG34" s="5">
        <v>4.1287142072035046</v>
      </c>
      <c r="BH34" s="5">
        <v>4.0587426680134637</v>
      </c>
      <c r="BI34" s="5">
        <v>3.8110259793553647</v>
      </c>
      <c r="BJ34" s="5">
        <v>3.5784281496294503</v>
      </c>
      <c r="BK34" s="5">
        <v>3.3443253734854674</v>
      </c>
      <c r="BL34" s="5">
        <v>3.1255377322294087</v>
      </c>
      <c r="BM34" s="5">
        <v>4.831836509539837</v>
      </c>
      <c r="BN34" s="5">
        <v>4.5369356897087671</v>
      </c>
      <c r="BO34" s="5">
        <v>4.2600335114636314</v>
      </c>
      <c r="BP34" s="5">
        <v>3.9813397303398426</v>
      </c>
      <c r="BQ34" s="5">
        <v>3.720878252654058</v>
      </c>
      <c r="BR34" s="5">
        <v>15.258899358071357</v>
      </c>
      <c r="BS34" s="5">
        <v>14.170796329308876</v>
      </c>
      <c r="BT34" s="5">
        <v>12.989380675970752</v>
      </c>
      <c r="BU34" s="5">
        <v>11.847687536345141</v>
      </c>
      <c r="BV34" s="5">
        <v>10.897933430151831</v>
      </c>
      <c r="BW34" s="8">
        <v>17.291944691791812</v>
      </c>
      <c r="BX34" s="5">
        <v>16.017534566627159</v>
      </c>
      <c r="BY34" s="5">
        <v>14.636780554221717</v>
      </c>
      <c r="BZ34" s="5">
        <v>13.268764115840815</v>
      </c>
      <c r="CA34" s="378">
        <v>12.182040985644051</v>
      </c>
      <c r="CB34" t="s">
        <v>55</v>
      </c>
      <c r="CC34" s="12">
        <v>18</v>
      </c>
      <c r="CD34" s="12">
        <v>18</v>
      </c>
      <c r="CE34" s="167">
        <v>18</v>
      </c>
      <c r="CF34" s="12">
        <v>18</v>
      </c>
      <c r="CG34" s="82">
        <v>20</v>
      </c>
      <c r="CH34" s="83">
        <v>39.85317999669082</v>
      </c>
      <c r="CI34" s="83">
        <v>45.040970996596243</v>
      </c>
      <c r="CJ34" s="83">
        <v>50.913963202403721</v>
      </c>
      <c r="CK34" s="83">
        <v>56.580432929010001</v>
      </c>
      <c r="CL34" s="83">
        <v>63.401039890724839</v>
      </c>
      <c r="CM34" s="84">
        <v>25.119170547529318</v>
      </c>
      <c r="CN34" s="84">
        <v>28.258535223377812</v>
      </c>
      <c r="CO34" s="84">
        <v>31.921218237669581</v>
      </c>
      <c r="CP34" s="84">
        <v>35.585642543153192</v>
      </c>
      <c r="CQ34" s="85"/>
      <c r="CR34" s="85">
        <v>2.2055325287068031</v>
      </c>
      <c r="CS34" s="85">
        <v>3.1833496213219328</v>
      </c>
      <c r="CT34" s="85">
        <v>4.2607680397865861</v>
      </c>
      <c r="CU34" s="85">
        <v>5.4576870186078974</v>
      </c>
      <c r="CV34" s="85">
        <v>6.7462160067653869</v>
      </c>
      <c r="CW34" s="84"/>
      <c r="CX34" s="84"/>
      <c r="CY34" s="84"/>
      <c r="CZ34" s="84"/>
      <c r="DA34" s="84"/>
      <c r="DB34" s="40">
        <v>1328.3510000000001</v>
      </c>
      <c r="DC34" s="40">
        <v>1328.3510000000001</v>
      </c>
      <c r="DD34" s="40">
        <v>1328.3510000000001</v>
      </c>
      <c r="DE34" s="40">
        <v>1328.3510000000001</v>
      </c>
      <c r="DF34" s="40">
        <v>1328.3510000000001</v>
      </c>
      <c r="DG34" s="40"/>
      <c r="DH34" s="40"/>
      <c r="DI34" s="40"/>
      <c r="DJ34" s="40"/>
      <c r="DK34" s="40"/>
      <c r="DL34" s="85"/>
      <c r="DM34" s="85"/>
      <c r="DN34" s="85">
        <v>0.29899999999999999</v>
      </c>
      <c r="DO34" s="85">
        <v>0.34384999999999993</v>
      </c>
      <c r="DP34" s="85">
        <v>0.39542749999999988</v>
      </c>
      <c r="DQ34" s="85">
        <v>0.45474162499999982</v>
      </c>
      <c r="DR34" s="85">
        <v>0.5229528687499998</v>
      </c>
      <c r="DS34" s="78">
        <v>0.4172756416359773</v>
      </c>
      <c r="DT34" s="78">
        <v>0.2373941697037707</v>
      </c>
      <c r="DU34" s="6">
        <v>0.1996525488829537</v>
      </c>
      <c r="DV34" s="6">
        <v>0.17866243104681567</v>
      </c>
      <c r="DW34" s="171">
        <v>1.2465998679937957</v>
      </c>
      <c r="DX34" s="132">
        <v>1.4174294305300676</v>
      </c>
      <c r="DY34" s="132">
        <v>1.6164539835348111</v>
      </c>
      <c r="DZ34" s="132">
        <v>1.8184729170211367</v>
      </c>
      <c r="EA34" s="78">
        <v>5.2115629999999996E-2</v>
      </c>
      <c r="EB34" s="6">
        <v>0.16248570000000001</v>
      </c>
      <c r="EC34" s="194">
        <v>-0.1278871</v>
      </c>
      <c r="ED34" s="363">
        <v>6.6714863815466208E-2</v>
      </c>
      <c r="EE34" s="175">
        <v>2.7147189691002271E-2</v>
      </c>
      <c r="EF34" s="363">
        <v>9.3862053506468479E-2</v>
      </c>
      <c r="EG34" s="6">
        <v>1.8128433598073451E-2</v>
      </c>
      <c r="EH34" s="363">
        <v>0.11199048710454193</v>
      </c>
      <c r="EI34" s="6">
        <v>8.7662061778411765E-2</v>
      </c>
      <c r="EJ34" s="194">
        <v>0.1996525488829537</v>
      </c>
      <c r="EK34" s="6">
        <v>6.666406520632906E-2</v>
      </c>
      <c r="EL34" s="194">
        <v>9.2289573464782171E-2</v>
      </c>
    </row>
    <row r="35" spans="2:142" x14ac:dyDescent="0.25">
      <c r="B35" s="38" t="s">
        <v>151</v>
      </c>
      <c r="D35" s="186">
        <v>46119</v>
      </c>
      <c r="E35" s="147"/>
      <c r="F35" s="149">
        <v>221.66999816894531</v>
      </c>
      <c r="G35" s="3">
        <v>23949.959191682563</v>
      </c>
      <c r="H35" s="25">
        <v>-43210</v>
      </c>
      <c r="I35" s="3">
        <v>10270</v>
      </c>
      <c r="J35" s="3"/>
      <c r="K35" s="76">
        <v>-32940</v>
      </c>
      <c r="L35" s="76">
        <v>5276047.4101665886</v>
      </c>
      <c r="M35" s="3">
        <v>26974</v>
      </c>
      <c r="N35" s="3">
        <v>60922</v>
      </c>
      <c r="O35" s="3">
        <v>130497</v>
      </c>
      <c r="P35" s="3">
        <v>215938</v>
      </c>
      <c r="Q35" s="3">
        <v>354704.9</v>
      </c>
      <c r="R35" s="3">
        <v>400449.91938136693</v>
      </c>
      <c r="S35" s="3">
        <v>409606.62497847673</v>
      </c>
      <c r="T35" s="3">
        <v>430668.60839300056</v>
      </c>
      <c r="U35" s="3">
        <v>452513.22272124665</v>
      </c>
      <c r="V35" s="21"/>
      <c r="W35" s="21"/>
      <c r="X35" s="21"/>
      <c r="Y35" s="21"/>
      <c r="Z35" s="21"/>
      <c r="AA35" s="21"/>
      <c r="AB35" s="21"/>
      <c r="AC35" s="21"/>
      <c r="AD35" s="21"/>
      <c r="AE35" s="144">
        <v>0</v>
      </c>
      <c r="AF35" s="144">
        <v>0</v>
      </c>
      <c r="AG35" s="144">
        <v>0</v>
      </c>
      <c r="AH35" s="144">
        <v>0</v>
      </c>
      <c r="AI35" s="144">
        <v>0</v>
      </c>
      <c r="AJ35" s="144">
        <v>0</v>
      </c>
      <c r="AK35" s="144">
        <v>0</v>
      </c>
      <c r="AL35" s="144">
        <v>0</v>
      </c>
      <c r="AM35" s="144">
        <v>0</v>
      </c>
      <c r="AN35" s="11">
        <v>0.33370562425209416</v>
      </c>
      <c r="AO35" s="11">
        <v>1.295589414595028</v>
      </c>
      <c r="AP35" s="11">
        <v>2.9940735365263667</v>
      </c>
      <c r="AQ35" s="11">
        <v>4.8100000000000005</v>
      </c>
      <c r="AR35" s="11">
        <v>8.4278766085268888</v>
      </c>
      <c r="AS35" s="11">
        <v>9.7821150047251209</v>
      </c>
      <c r="AT35" s="11">
        <v>10.225720068532778</v>
      </c>
      <c r="AU35" s="11">
        <v>10.981352338408334</v>
      </c>
      <c r="AV35" s="11">
        <v>11.757462291622598</v>
      </c>
      <c r="AW35" s="145">
        <v>0.33370562425209416</v>
      </c>
      <c r="AX35" s="145">
        <v>1.295589414595028</v>
      </c>
      <c r="AY35" s="145">
        <v>2.9940735365263667</v>
      </c>
      <c r="AZ35" s="145">
        <v>4.8100000000000005</v>
      </c>
      <c r="BA35" s="145">
        <v>8.4278766085268888</v>
      </c>
      <c r="BB35" s="145">
        <v>9.7821150047251209</v>
      </c>
      <c r="BC35" s="145">
        <v>10.225720068532778</v>
      </c>
      <c r="BD35" s="145">
        <v>10.981352338408334</v>
      </c>
      <c r="BE35" s="145">
        <v>11.757462291622598</v>
      </c>
      <c r="BF35" s="5">
        <v>40.430411504989301</v>
      </c>
      <c r="BG35" s="5">
        <v>24.433158638899076</v>
      </c>
      <c r="BH35" s="5">
        <v>14.874470045851039</v>
      </c>
      <c r="BI35" s="5">
        <v>13.175298969512253</v>
      </c>
      <c r="BJ35" s="5">
        <v>12.880766785556325</v>
      </c>
      <c r="BK35" s="5">
        <v>12.250828844604355</v>
      </c>
      <c r="BL35" s="5">
        <v>11.659432576220418</v>
      </c>
      <c r="BM35" s="229" t="s">
        <v>24</v>
      </c>
      <c r="BN35" s="229" t="s">
        <v>24</v>
      </c>
      <c r="BO35" s="5" t="e">
        <v>#DIV/0!</v>
      </c>
      <c r="BP35" s="5" t="e">
        <v>#DIV/0!</v>
      </c>
      <c r="BQ35" s="5" t="e">
        <v>#DIV/0!</v>
      </c>
      <c r="BR35" s="5">
        <v>26.301998530053357</v>
      </c>
      <c r="BS35" s="5">
        <v>22.660743414064399</v>
      </c>
      <c r="BT35" s="5">
        <v>21.677690830896303</v>
      </c>
      <c r="BU35" s="5">
        <v>20.186038234437959</v>
      </c>
      <c r="BV35" s="5">
        <v>18.853558078335418</v>
      </c>
      <c r="BW35" s="8">
        <v>26.301998530053357</v>
      </c>
      <c r="BX35" s="5">
        <v>22.660743414064399</v>
      </c>
      <c r="BY35" s="5">
        <v>21.677690830896303</v>
      </c>
      <c r="BZ35" s="5">
        <v>20.186038234437959</v>
      </c>
      <c r="CA35" s="378">
        <v>18.853558078335418</v>
      </c>
      <c r="CC35" s="12">
        <v>24</v>
      </c>
      <c r="CD35" s="12">
        <v>24</v>
      </c>
      <c r="CE35" s="167">
        <v>24</v>
      </c>
      <c r="CF35" s="12">
        <v>24</v>
      </c>
      <c r="CG35" s="82">
        <v>24</v>
      </c>
      <c r="CH35" s="46"/>
      <c r="CI35" s="46"/>
      <c r="CJ35" s="46"/>
      <c r="CK35" s="46"/>
      <c r="CL35" s="46"/>
      <c r="CM35" s="43">
        <v>234.7707601134029</v>
      </c>
      <c r="CN35" s="43">
        <v>245.41728164478667</v>
      </c>
      <c r="CO35" s="43">
        <v>263.55245612179999</v>
      </c>
      <c r="CP35" s="43">
        <v>282.17909499894233</v>
      </c>
      <c r="CQ35" s="7"/>
      <c r="CR35" s="7"/>
      <c r="CS35" s="7"/>
      <c r="CT35" s="7"/>
      <c r="CU35" s="7"/>
      <c r="CV35" s="7"/>
      <c r="CW35" s="41"/>
      <c r="CX35" s="41"/>
      <c r="CY35" s="41"/>
      <c r="CZ35" s="41"/>
      <c r="DA35" s="19"/>
      <c r="DB35" s="40">
        <v>22739.183584099916</v>
      </c>
      <c r="DC35" s="40">
        <v>21525.914915016045</v>
      </c>
      <c r="DD35" s="40">
        <v>20428.256408220288</v>
      </c>
      <c r="DE35" s="40">
        <v>19409.324661193688</v>
      </c>
      <c r="DF35" s="40">
        <v>18466.077905645991</v>
      </c>
      <c r="DG35" s="40">
        <v>-32940</v>
      </c>
      <c r="DH35" s="40">
        <v>-32940</v>
      </c>
      <c r="DI35" s="40">
        <v>-32940</v>
      </c>
      <c r="DJ35" s="40">
        <v>-32940</v>
      </c>
      <c r="DK35" s="40">
        <v>-32940</v>
      </c>
      <c r="DL35" s="7"/>
      <c r="DM35" s="7"/>
      <c r="DN35" s="7">
        <v>4.4000000000000004E-2</v>
      </c>
      <c r="DO35" s="7">
        <v>4.8400000000000006E-2</v>
      </c>
      <c r="DP35" s="7">
        <v>5.324000000000001E-2</v>
      </c>
      <c r="DQ35" s="7">
        <v>5.8564000000000012E-2</v>
      </c>
      <c r="DR35" s="7">
        <v>6.4420400000000017E-2</v>
      </c>
      <c r="DS35" s="78">
        <v>9.7377093439354523E-2</v>
      </c>
      <c r="DT35" s="78">
        <v>6.5072968548651744E-2</v>
      </c>
      <c r="DU35" s="6">
        <v>6.8506453475023266E-2</v>
      </c>
      <c r="DV35" s="6">
        <v>6.9157011918087541E-2</v>
      </c>
      <c r="DW35" s="171">
        <v>1.0592987867236745</v>
      </c>
      <c r="DX35" s="132">
        <v>1.1075458279097923</v>
      </c>
      <c r="DY35" s="132">
        <v>1.1895975923671145</v>
      </c>
      <c r="DZ35" s="132">
        <v>1.2738904738192154</v>
      </c>
      <c r="EA35" s="78">
        <v>9.9993590000000007E-2</v>
      </c>
      <c r="EB35" s="6">
        <v>0.18066369999999998</v>
      </c>
      <c r="EC35" s="194">
        <v>0.18939900000000001</v>
      </c>
      <c r="ED35" s="363">
        <v>5.7368954974396091E-2</v>
      </c>
      <c r="EE35" s="175">
        <v>-3.0518252927299594E-2</v>
      </c>
      <c r="EF35" s="363">
        <v>2.6850702047096497E-2</v>
      </c>
      <c r="EG35" s="6">
        <v>5.4899399222544928E-2</v>
      </c>
      <c r="EH35" s="363">
        <v>8.1750101269641426E-2</v>
      </c>
      <c r="EI35" s="6">
        <v>-1.324364779461816E-2</v>
      </c>
      <c r="EJ35" s="194">
        <v>6.8506453475023266E-2</v>
      </c>
      <c r="EK35" s="6">
        <v>0</v>
      </c>
      <c r="EL35" s="194">
        <v>9.2226105677069459E-2</v>
      </c>
    </row>
    <row r="36" spans="2:142" x14ac:dyDescent="0.25">
      <c r="B36" s="142" t="s">
        <v>187</v>
      </c>
      <c r="C36" s="290">
        <v>1</v>
      </c>
      <c r="D36" s="186">
        <v>46139</v>
      </c>
      <c r="E36" s="147"/>
      <c r="F36" s="322">
        <v>324.3599853515625</v>
      </c>
      <c r="G36" s="316">
        <v>216.63013698630135</v>
      </c>
      <c r="H36" s="59">
        <v>-2798</v>
      </c>
      <c r="I36" s="59">
        <v>15249</v>
      </c>
      <c r="J36" s="3"/>
      <c r="K36" s="80">
        <v>12451</v>
      </c>
      <c r="L36" s="184">
        <v>82717.148059583691</v>
      </c>
      <c r="M36" s="316">
        <v>12479</v>
      </c>
      <c r="N36" s="316">
        <v>13376</v>
      </c>
      <c r="O36" s="317">
        <v>15698</v>
      </c>
      <c r="P36" s="317">
        <v>17181</v>
      </c>
      <c r="Q36" s="317">
        <v>17997.75423991619</v>
      </c>
      <c r="R36" s="317">
        <v>18981.819847379087</v>
      </c>
      <c r="S36" s="317">
        <v>20017.135073844478</v>
      </c>
      <c r="T36" s="317">
        <v>21106.284818834145</v>
      </c>
      <c r="U36" s="317">
        <v>22251.981449015017</v>
      </c>
      <c r="V36" s="313">
        <v>0.48</v>
      </c>
      <c r="W36" s="313">
        <v>0.48</v>
      </c>
      <c r="X36" s="313">
        <v>0.48</v>
      </c>
      <c r="Y36" s="313">
        <v>0.48</v>
      </c>
      <c r="Z36" s="313">
        <v>0.48</v>
      </c>
      <c r="AA36" s="313">
        <v>0.48</v>
      </c>
      <c r="AB36" s="313">
        <v>0.48</v>
      </c>
      <c r="AC36" s="313">
        <v>0.48</v>
      </c>
      <c r="AD36" s="313">
        <v>0.48</v>
      </c>
      <c r="AE36" s="144">
        <v>5989.92</v>
      </c>
      <c r="AF36" s="144">
        <v>6420.48</v>
      </c>
      <c r="AG36" s="144">
        <v>7535.04</v>
      </c>
      <c r="AH36" s="144">
        <v>8246.8799999999992</v>
      </c>
      <c r="AI36" s="144">
        <v>8638.9220351597705</v>
      </c>
      <c r="AJ36" s="144">
        <v>9111.2735267419612</v>
      </c>
      <c r="AK36" s="144">
        <v>9608.2248354453495</v>
      </c>
      <c r="AL36" s="144">
        <v>10131.01671304039</v>
      </c>
      <c r="AM36" s="144">
        <v>10680.951095527207</v>
      </c>
      <c r="AN36" s="18">
        <v>13.391181988742964</v>
      </c>
      <c r="AO36" s="18">
        <v>14.141463414634146</v>
      </c>
      <c r="AP36" s="18">
        <v>15.604705882352942</v>
      </c>
      <c r="AQ36" s="318">
        <v>17.081481760360358</v>
      </c>
      <c r="AR36" s="318">
        <v>19.260685159074111</v>
      </c>
      <c r="AS36" s="318">
        <v>22.130311396945057</v>
      </c>
      <c r="AT36" s="318">
        <v>25.20518776394821</v>
      </c>
      <c r="AU36" s="318">
        <v>28.526457452641594</v>
      </c>
      <c r="AV36" s="318">
        <v>32.114172919048045</v>
      </c>
      <c r="AW36" s="145">
        <v>13.391181988742964</v>
      </c>
      <c r="AX36" s="145">
        <v>14.141463414634146</v>
      </c>
      <c r="AY36" s="145">
        <v>15.604705882352942</v>
      </c>
      <c r="AZ36" s="145">
        <v>17.081481760360358</v>
      </c>
      <c r="BA36" s="145">
        <v>19.260685159074111</v>
      </c>
      <c r="BB36" s="145">
        <v>22.130311396945057</v>
      </c>
      <c r="BC36" s="145">
        <v>25.20518776394821</v>
      </c>
      <c r="BD36" s="145">
        <v>28.526457452641594</v>
      </c>
      <c r="BE36" s="145">
        <v>32.114172919048045</v>
      </c>
      <c r="BF36" s="5">
        <v>5.2692794024451324</v>
      </c>
      <c r="BG36" s="5">
        <v>4.8144548081941503</v>
      </c>
      <c r="BH36" s="5">
        <v>4.5959705281523435</v>
      </c>
      <c r="BI36" s="5">
        <v>4.3577037778601007</v>
      </c>
      <c r="BJ36" s="5">
        <v>4.1323170251104813</v>
      </c>
      <c r="BK36" s="5">
        <v>3.9190766527404781</v>
      </c>
      <c r="BL36" s="5">
        <v>3.7172935924429851</v>
      </c>
      <c r="BM36" s="228">
        <v>9.5749386003173829</v>
      </c>
      <c r="BN36" s="5">
        <v>9.078549537208545</v>
      </c>
      <c r="BO36" s="5">
        <v>8.6089938023135026</v>
      </c>
      <c r="BP36" s="5">
        <v>8.1647430265426628</v>
      </c>
      <c r="BQ36" s="5">
        <v>7.7443616509228859</v>
      </c>
      <c r="BR36" s="5">
        <v>16.840521646694885</v>
      </c>
      <c r="BS36" s="5">
        <v>14.65681975881904</v>
      </c>
      <c r="BT36" s="5">
        <v>12.868778776387654</v>
      </c>
      <c r="BU36" s="5">
        <v>11.3704965255518</v>
      </c>
      <c r="BV36" s="5">
        <v>10.100212954859353</v>
      </c>
      <c r="BW36" s="8">
        <v>16.840521646694885</v>
      </c>
      <c r="BX36" s="5">
        <v>14.65681975881904</v>
      </c>
      <c r="BY36" s="5">
        <v>12.868778776387654</v>
      </c>
      <c r="BZ36" s="5">
        <v>11.3704965255518</v>
      </c>
      <c r="CA36" s="378">
        <v>10.100212954859353</v>
      </c>
      <c r="CC36" s="319">
        <v>18</v>
      </c>
      <c r="CD36" s="319">
        <v>18</v>
      </c>
      <c r="CE36" s="287">
        <v>18</v>
      </c>
      <c r="CF36" s="319">
        <v>18</v>
      </c>
      <c r="CG36" s="319">
        <v>20</v>
      </c>
      <c r="CH36" s="46"/>
      <c r="CI36" s="46"/>
      <c r="CJ36" s="46"/>
      <c r="CK36" s="46"/>
      <c r="CL36" s="46"/>
      <c r="CM36" s="182">
        <v>398.34560514501101</v>
      </c>
      <c r="CN36" s="182">
        <v>453.69337975106777</v>
      </c>
      <c r="CO36" s="182">
        <v>513.47623414754867</v>
      </c>
      <c r="CP36" s="182">
        <v>578.05511254286478</v>
      </c>
      <c r="CQ36" s="7"/>
      <c r="CR36" s="7"/>
      <c r="CS36" s="7"/>
      <c r="CT36" s="7"/>
      <c r="CU36" s="7"/>
      <c r="CV36" s="7"/>
      <c r="CW36" s="41"/>
      <c r="CX36" s="41"/>
      <c r="CY36" s="41"/>
      <c r="CZ36" s="41"/>
      <c r="DA36" s="19"/>
      <c r="DB36" s="60">
        <v>210.03210601024631</v>
      </c>
      <c r="DC36" s="60">
        <v>199.47985647335042</v>
      </c>
      <c r="DD36" s="60">
        <v>189.20880423960901</v>
      </c>
      <c r="DE36" s="60">
        <v>179.58404845672956</v>
      </c>
      <c r="DF36" s="60">
        <v>170.48807407729049</v>
      </c>
      <c r="DG36" s="40"/>
      <c r="DH36" s="40"/>
      <c r="DI36" s="40"/>
      <c r="DJ36" s="40"/>
      <c r="DK36" s="40"/>
      <c r="DL36" s="7"/>
      <c r="DM36" s="7"/>
      <c r="DN36" s="320">
        <v>3.0487447831035794</v>
      </c>
      <c r="DO36" s="320">
        <v>3.2011820222587586</v>
      </c>
      <c r="DP36" s="320">
        <v>3.3612411233716966</v>
      </c>
      <c r="DQ36" s="320">
        <v>3.5293031795402814</v>
      </c>
      <c r="DR36" s="320">
        <v>3.7057683385172955</v>
      </c>
      <c r="DS36" s="78">
        <v>0.40420618484191184</v>
      </c>
      <c r="DT36" s="78">
        <v>0.23878918660319615</v>
      </c>
      <c r="DU36" s="6">
        <v>0.19914809936701272</v>
      </c>
      <c r="DV36" s="6">
        <v>0.17977209000697014</v>
      </c>
      <c r="DW36" s="171">
        <v>1.2374965102216824</v>
      </c>
      <c r="DX36" s="132">
        <v>1.4180026123071672</v>
      </c>
      <c r="DY36" s="132">
        <v>1.6126755016014889</v>
      </c>
      <c r="DZ36" s="132">
        <v>1.8226526401225562</v>
      </c>
      <c r="EA36" s="78">
        <v>-2.242311E-2</v>
      </c>
      <c r="EB36" s="6">
        <v>1.8505150000000002E-4</v>
      </c>
      <c r="EC36" s="194">
        <v>-5.75588E-2</v>
      </c>
      <c r="ED36" s="363">
        <v>5.438898531932912E-2</v>
      </c>
      <c r="EE36" s="175">
        <v>2.5780042000890901E-2</v>
      </c>
      <c r="EF36" s="363">
        <v>8.0169027320220021E-2</v>
      </c>
      <c r="EG36" s="6">
        <v>6.7508940828234276E-2</v>
      </c>
      <c r="EH36" s="363">
        <v>0.1476779681484543</v>
      </c>
      <c r="EI36" s="6">
        <v>5.1470131218558424E-2</v>
      </c>
      <c r="EJ36" s="194">
        <v>0.19914809936701272</v>
      </c>
      <c r="EK36" s="6">
        <v>5.4543483685594474E-2</v>
      </c>
      <c r="EL36" s="194">
        <v>0.13987887047550296</v>
      </c>
    </row>
    <row r="37" spans="2:142" x14ac:dyDescent="0.25">
      <c r="B37" s="142" t="s">
        <v>186</v>
      </c>
      <c r="C37" s="290">
        <v>1</v>
      </c>
      <c r="D37" s="186">
        <v>45809</v>
      </c>
      <c r="E37" s="147"/>
      <c r="F37" s="322">
        <v>183.22999572753906</v>
      </c>
      <c r="G37" s="3">
        <v>645.02771755555568</v>
      </c>
      <c r="H37" s="25">
        <v>0</v>
      </c>
      <c r="I37" s="25">
        <v>0</v>
      </c>
      <c r="J37" s="3"/>
      <c r="K37" s="76">
        <v>0</v>
      </c>
      <c r="L37" s="76">
        <v>118188.42593184875</v>
      </c>
      <c r="M37" s="3"/>
      <c r="N37" s="3"/>
      <c r="O37" s="226">
        <v>56411</v>
      </c>
      <c r="P37" s="226">
        <v>53434</v>
      </c>
      <c r="Q37" s="226">
        <v>62563.761249999996</v>
      </c>
      <c r="R37" s="226">
        <v>65935.143343749995</v>
      </c>
      <c r="S37" s="226">
        <v>69230.672844531247</v>
      </c>
      <c r="T37" s="226">
        <v>72702.350495371094</v>
      </c>
      <c r="U37" s="226">
        <v>76359.836579398921</v>
      </c>
      <c r="V37" s="21"/>
      <c r="W37" s="21"/>
      <c r="X37" s="21"/>
      <c r="Y37" s="21"/>
      <c r="Z37" s="21"/>
      <c r="AA37" s="21"/>
      <c r="AB37" s="21"/>
      <c r="AC37" s="21"/>
      <c r="AD37" s="21"/>
      <c r="AE37" s="144"/>
      <c r="AF37" s="144"/>
      <c r="AG37" s="3"/>
      <c r="AH37" s="3"/>
      <c r="AI37" s="3"/>
      <c r="AJ37" s="3"/>
      <c r="AK37" s="3"/>
      <c r="AL37" s="3"/>
      <c r="AM37" s="3"/>
      <c r="AN37" s="11"/>
      <c r="AO37" s="11"/>
      <c r="AP37" s="11">
        <v>14.977270323566204</v>
      </c>
      <c r="AQ37" s="242">
        <v>15.732464655255114</v>
      </c>
      <c r="AR37" s="242">
        <v>19.948806431374351</v>
      </c>
      <c r="AS37" s="242">
        <v>24.351433927846923</v>
      </c>
      <c r="AT37" s="242">
        <v>27.598444328460019</v>
      </c>
      <c r="AU37" s="242">
        <v>29.976042245849985</v>
      </c>
      <c r="AV37" s="242">
        <v>33.42645248873292</v>
      </c>
      <c r="AW37" s="11"/>
      <c r="AX37" s="11"/>
      <c r="AY37" s="145">
        <v>14.977270323566204</v>
      </c>
      <c r="AZ37" s="145">
        <v>15.732464655255114</v>
      </c>
      <c r="BA37" s="145">
        <v>19.948806431374351</v>
      </c>
      <c r="BB37" s="145">
        <v>24.351433927846923</v>
      </c>
      <c r="BC37" s="145">
        <v>27.598444328460019</v>
      </c>
      <c r="BD37" s="145">
        <v>29.976042245849985</v>
      </c>
      <c r="BE37" s="145">
        <v>33.42645248873292</v>
      </c>
      <c r="BF37" s="5"/>
      <c r="BG37" s="5">
        <v>2.2118581040507683</v>
      </c>
      <c r="BH37" s="5">
        <v>1.8890876055161845</v>
      </c>
      <c r="BI37" s="5">
        <v>1.7924951693162863</v>
      </c>
      <c r="BJ37" s="5">
        <v>1.7071685291469014</v>
      </c>
      <c r="BK37" s="5">
        <v>1.6256479347166872</v>
      </c>
      <c r="BL37" s="5">
        <v>1.5477825939158012</v>
      </c>
      <c r="BM37" s="229" t="s">
        <v>24</v>
      </c>
      <c r="BN37" s="229" t="s">
        <v>24</v>
      </c>
      <c r="BO37" s="229" t="s">
        <v>24</v>
      </c>
      <c r="BP37" s="229" t="s">
        <v>24</v>
      </c>
      <c r="BQ37" s="229" t="s">
        <v>24</v>
      </c>
      <c r="BR37" s="5">
        <v>9.1850104595413455</v>
      </c>
      <c r="BS37" s="5">
        <v>7.5244027218457799</v>
      </c>
      <c r="BT37" s="5">
        <v>6.6391421757997042</v>
      </c>
      <c r="BU37" s="5">
        <v>6.1125479549558026</v>
      </c>
      <c r="BV37" s="5">
        <v>5.4815866502525372</v>
      </c>
      <c r="BW37" s="8">
        <v>9.1850104595413455</v>
      </c>
      <c r="BX37" s="5">
        <v>7.5244027218457799</v>
      </c>
      <c r="BY37" s="5">
        <v>6.6391421757997042</v>
      </c>
      <c r="BZ37" s="5">
        <v>6.1125479549558026</v>
      </c>
      <c r="CA37" s="378">
        <v>5.4815866502525372</v>
      </c>
      <c r="CC37" s="12">
        <v>12</v>
      </c>
      <c r="CD37" s="12">
        <v>12</v>
      </c>
      <c r="CE37" s="167">
        <v>12</v>
      </c>
      <c r="CF37" s="12">
        <v>12</v>
      </c>
      <c r="CG37" s="82">
        <v>12</v>
      </c>
      <c r="CH37" s="46"/>
      <c r="CI37" s="46"/>
      <c r="CJ37" s="46"/>
      <c r="CK37" s="46"/>
      <c r="CL37" s="46"/>
      <c r="CM37" s="182">
        <v>292.21720713416306</v>
      </c>
      <c r="CN37" s="182">
        <v>331.18133194152023</v>
      </c>
      <c r="CO37" s="182">
        <v>359.71250695019984</v>
      </c>
      <c r="CP37" s="182">
        <v>401.11742986479504</v>
      </c>
      <c r="CQ37" s="7"/>
      <c r="CR37" s="7"/>
      <c r="CS37" s="7"/>
      <c r="CT37" s="7"/>
      <c r="CU37" s="7"/>
      <c r="CV37" s="7"/>
      <c r="CW37" s="41"/>
      <c r="CX37" s="41"/>
      <c r="CY37" s="41"/>
      <c r="CZ37" s="41"/>
      <c r="DA37" s="19"/>
      <c r="DB37" s="40">
        <v>570.04736133723407</v>
      </c>
      <c r="DC37" s="40">
        <v>523.90708050363105</v>
      </c>
      <c r="DD37" s="40">
        <v>492.26483340835745</v>
      </c>
      <c r="DE37" s="40">
        <v>464.10730103726547</v>
      </c>
      <c r="DF37" s="40">
        <v>438.03843933636563</v>
      </c>
      <c r="DG37" s="40"/>
      <c r="DH37" s="40"/>
      <c r="DI37" s="40"/>
      <c r="DJ37" s="40"/>
      <c r="DK37" s="40"/>
      <c r="DL37" s="7"/>
      <c r="DM37" s="7"/>
      <c r="DN37" s="183">
        <v>2.359809498382853</v>
      </c>
      <c r="DO37" s="183">
        <v>2.4502162955611593</v>
      </c>
      <c r="DP37" s="183">
        <v>2.5058788922801756</v>
      </c>
      <c r="DQ37" s="183">
        <v>2.5294375226671173</v>
      </c>
      <c r="DR37" s="183">
        <v>2.5474036860421361</v>
      </c>
      <c r="DS37" s="78">
        <v>1.1423122461181432</v>
      </c>
      <c r="DT37" s="78">
        <v>0.45182571235885849</v>
      </c>
      <c r="DU37" s="6">
        <v>0.30251731470102072</v>
      </c>
      <c r="DV37" s="6">
        <v>0.24930082404556364</v>
      </c>
      <c r="DW37" s="171">
        <v>1.607689917051456</v>
      </c>
      <c r="DX37" s="132">
        <v>1.8337137235711101</v>
      </c>
      <c r="DY37" s="132">
        <v>2.0031022223140318</v>
      </c>
      <c r="DZ37" s="132">
        <v>2.2428793410265828</v>
      </c>
      <c r="EA37" s="78">
        <v>-0.1125587</v>
      </c>
      <c r="EB37" s="6">
        <v>-0.1064566</v>
      </c>
      <c r="EC37" s="194">
        <v>-9.4713410000000012E-2</v>
      </c>
      <c r="ED37" s="363">
        <v>5.083566239658599E-2</v>
      </c>
      <c r="EE37" s="175">
        <v>1.0636443486204739E-2</v>
      </c>
      <c r="EF37" s="363">
        <v>6.1472105882790729E-2</v>
      </c>
      <c r="EG37" s="6">
        <v>8.4824944661488405E-2</v>
      </c>
      <c r="EH37" s="363">
        <v>0.14629705054427913</v>
      </c>
      <c r="EI37" s="6">
        <v>0.15622026415674159</v>
      </c>
      <c r="EJ37" s="194">
        <v>0.30251731470102072</v>
      </c>
      <c r="EK37" s="6">
        <v>0</v>
      </c>
      <c r="EL37" s="194">
        <v>0.14538755122481839</v>
      </c>
    </row>
    <row r="38" spans="2:142" x14ac:dyDescent="0.25">
      <c r="B38" s="142" t="s">
        <v>169</v>
      </c>
      <c r="C38" s="290">
        <v>1</v>
      </c>
      <c r="D38" s="186">
        <v>46120</v>
      </c>
      <c r="E38" s="147"/>
      <c r="F38" s="241">
        <v>1503</v>
      </c>
      <c r="G38" s="3">
        <v>236.15899999999999</v>
      </c>
      <c r="H38" s="25">
        <v>-13179</v>
      </c>
      <c r="I38" s="3">
        <v>97935</v>
      </c>
      <c r="J38" s="3"/>
      <c r="K38" s="76">
        <v>84756</v>
      </c>
      <c r="L38" s="76">
        <v>439702.97700000001</v>
      </c>
      <c r="M38" s="3"/>
      <c r="N38" s="3"/>
      <c r="O38" s="226">
        <v>167106</v>
      </c>
      <c r="P38" s="226">
        <v>288458.39647751173</v>
      </c>
      <c r="Q38" s="226">
        <v>276504.65492707555</v>
      </c>
      <c r="R38" s="226">
        <v>279123.69344760955</v>
      </c>
      <c r="S38" s="226">
        <v>285244.74318328482</v>
      </c>
      <c r="T38" s="226">
        <v>291551.26951984334</v>
      </c>
      <c r="U38" s="226">
        <v>298050.43131547008</v>
      </c>
      <c r="V38" s="21"/>
      <c r="W38" s="21"/>
      <c r="X38" s="21"/>
      <c r="Y38" s="21">
        <v>0.27823739377824797</v>
      </c>
      <c r="Z38" s="21">
        <v>0.28499666833630255</v>
      </c>
      <c r="AA38" s="21">
        <v>0.28741231826357239</v>
      </c>
      <c r="AB38" s="21">
        <v>0.28975498611949485</v>
      </c>
      <c r="AC38" s="21">
        <v>0.29218037746140962</v>
      </c>
      <c r="AD38" s="21">
        <v>0.29469035824384504</v>
      </c>
      <c r="AE38" s="144"/>
      <c r="AF38" s="144"/>
      <c r="AG38" s="3">
        <v>42974</v>
      </c>
      <c r="AH38" s="3">
        <v>80259.912449355412</v>
      </c>
      <c r="AI38" s="3">
        <v>78802.905433695531</v>
      </c>
      <c r="AJ38" s="3">
        <v>80223.587816068175</v>
      </c>
      <c r="AK38" s="3">
        <v>82651.086601731571</v>
      </c>
      <c r="AL38" s="3">
        <v>85185.559977660989</v>
      </c>
      <c r="AM38" s="3">
        <v>87832.588379088411</v>
      </c>
      <c r="AN38" s="11"/>
      <c r="AO38" s="11"/>
      <c r="AP38" s="11"/>
      <c r="AQ38" s="242">
        <v>50.906380870515207</v>
      </c>
      <c r="AR38" s="242">
        <v>67.813728300411768</v>
      </c>
      <c r="AS38" s="242">
        <v>92.547674767935817</v>
      </c>
      <c r="AT38" s="242">
        <v>107.11499167827235</v>
      </c>
      <c r="AU38" s="242">
        <v>116.54704726071415</v>
      </c>
      <c r="AV38" s="242">
        <v>127.07195372577763</v>
      </c>
      <c r="AW38" s="11"/>
      <c r="AX38" s="11"/>
      <c r="AY38" s="11"/>
      <c r="AZ38" s="242">
        <v>50.906380870515207</v>
      </c>
      <c r="BA38" s="242">
        <v>67.813728300411768</v>
      </c>
      <c r="BB38" s="242">
        <v>92.547674767935817</v>
      </c>
      <c r="BC38" s="242">
        <v>107.11499167827235</v>
      </c>
      <c r="BD38" s="242">
        <v>116.54704726071415</v>
      </c>
      <c r="BE38" s="242">
        <v>127.07195372577763</v>
      </c>
      <c r="BF38" s="5"/>
      <c r="BG38" s="5">
        <v>1.524320256818315</v>
      </c>
      <c r="BH38" s="5">
        <v>1.5902190764779922</v>
      </c>
      <c r="BI38" s="5">
        <v>1.5752979317842488</v>
      </c>
      <c r="BJ38" s="5">
        <v>1.5414937085009401</v>
      </c>
      <c r="BK38" s="5">
        <v>1.5081497594716298</v>
      </c>
      <c r="BL38" s="5">
        <v>1.4752636829255197</v>
      </c>
      <c r="BM38" s="5">
        <v>5.5797812857289184</v>
      </c>
      <c r="BN38" s="5">
        <v>5.4809687396196312</v>
      </c>
      <c r="BO38" s="5">
        <v>5.3199902757332662</v>
      </c>
      <c r="BP38" s="5">
        <v>5.1617078894041137</v>
      </c>
      <c r="BQ38" s="5">
        <v>5.0061484594103858</v>
      </c>
      <c r="BR38" s="5">
        <v>22.163653845159164</v>
      </c>
      <c r="BS38" s="5">
        <v>16.240278362139158</v>
      </c>
      <c r="BT38" s="5">
        <v>14.031649318653448</v>
      </c>
      <c r="BU38" s="5">
        <v>12.896079611848162</v>
      </c>
      <c r="BV38" s="5">
        <v>11.827944372709393</v>
      </c>
      <c r="BW38" s="8">
        <v>22.163653845159164</v>
      </c>
      <c r="BX38" s="5">
        <v>16.240278362139158</v>
      </c>
      <c r="BY38" s="5">
        <v>14.031649318653448</v>
      </c>
      <c r="BZ38" s="5">
        <v>12.896079611848162</v>
      </c>
      <c r="CA38" s="378">
        <v>11.827944372709393</v>
      </c>
      <c r="CC38" s="12">
        <v>21</v>
      </c>
      <c r="CD38" s="12">
        <v>21</v>
      </c>
      <c r="CE38" s="167">
        <v>21</v>
      </c>
      <c r="CF38" s="12">
        <v>21</v>
      </c>
      <c r="CG38" s="82">
        <v>22</v>
      </c>
      <c r="CH38" s="46"/>
      <c r="CI38" s="46"/>
      <c r="CJ38" s="46"/>
      <c r="CK38" s="46"/>
      <c r="CL38" s="46"/>
      <c r="CM38" s="182">
        <v>1943.5011701266521</v>
      </c>
      <c r="CN38" s="182">
        <v>2249.4148252437194</v>
      </c>
      <c r="CO38" s="182">
        <v>2447.4879924749971</v>
      </c>
      <c r="CP38" s="182">
        <v>2668.5110282413302</v>
      </c>
      <c r="CQ38" s="7"/>
      <c r="CR38" s="7"/>
      <c r="CS38" s="7"/>
      <c r="CT38" s="7"/>
      <c r="CU38" s="7"/>
      <c r="CV38" s="7"/>
      <c r="CW38" s="41"/>
      <c r="CX38" s="41"/>
      <c r="CY38" s="41"/>
      <c r="CZ38" s="41"/>
      <c r="DA38" s="19"/>
      <c r="DB38" s="40">
        <v>236.15899999999999</v>
      </c>
      <c r="DC38" s="40">
        <v>228.54085992933221</v>
      </c>
      <c r="DD38" s="40">
        <v>217.49764362621156</v>
      </c>
      <c r="DE38" s="40">
        <v>207.86395143347687</v>
      </c>
      <c r="DF38" s="40">
        <v>198.71779015583047</v>
      </c>
      <c r="DG38" s="40"/>
      <c r="DH38" s="40"/>
      <c r="DI38" s="40"/>
      <c r="DJ38" s="40"/>
      <c r="DK38" s="40"/>
      <c r="DL38" s="7"/>
      <c r="DM38" s="7"/>
      <c r="DN38" s="183">
        <v>7.3500000000000005</v>
      </c>
      <c r="DO38" s="183">
        <v>7.7175000000000011</v>
      </c>
      <c r="DP38" s="183">
        <v>8.1033750000000015</v>
      </c>
      <c r="DQ38" s="183">
        <v>8.5085437500000012</v>
      </c>
      <c r="DR38" s="183">
        <v>8.9339709375000016</v>
      </c>
      <c r="DS38" s="78">
        <v>0.52027151352271184</v>
      </c>
      <c r="DT38" s="78">
        <v>0.2870835080006493</v>
      </c>
      <c r="DU38" s="6">
        <v>0.20843930771337393</v>
      </c>
      <c r="DV38" s="6">
        <v>0.17537793312083494</v>
      </c>
      <c r="DW38" s="171">
        <v>1.2979715037436141</v>
      </c>
      <c r="DX38" s="132">
        <v>1.5066416002952225</v>
      </c>
      <c r="DY38" s="132">
        <v>1.6438182750997987</v>
      </c>
      <c r="DZ38" s="132">
        <v>1.7965338968671527</v>
      </c>
      <c r="EA38" s="78">
        <v>-0.12233579999999999</v>
      </c>
      <c r="EB38" s="6">
        <v>-9.9730460000000007E-2</v>
      </c>
      <c r="EC38" s="194">
        <v>7.8192250000000005E-2</v>
      </c>
      <c r="ED38" s="363">
        <v>1.9035036190086618E-2</v>
      </c>
      <c r="EE38" s="175">
        <v>0.10175606553092775</v>
      </c>
      <c r="EF38" s="363">
        <v>0.12079110172101437</v>
      </c>
      <c r="EG38" s="6">
        <v>5.4582776184405574E-2</v>
      </c>
      <c r="EH38" s="363">
        <v>0.17537387790541994</v>
      </c>
      <c r="EI38" s="6">
        <v>3.3065429807953989E-2</v>
      </c>
      <c r="EJ38" s="194">
        <v>0.20843930771337393</v>
      </c>
      <c r="EK38" s="6">
        <v>2.6300603280629664E-2</v>
      </c>
      <c r="EL38" s="194">
        <v>0.19782824898128881</v>
      </c>
    </row>
    <row r="39" spans="2:142" ht="15.75" thickBot="1" x14ac:dyDescent="0.3">
      <c r="B39" s="48" t="s">
        <v>42</v>
      </c>
      <c r="C39" s="49"/>
      <c r="D39" s="386">
        <v>45992</v>
      </c>
      <c r="E39" s="49"/>
      <c r="F39" s="206">
        <v>412.69500732421875</v>
      </c>
      <c r="G39" s="387">
        <v>282</v>
      </c>
      <c r="H39" s="106">
        <v>-4552</v>
      </c>
      <c r="I39" s="383">
        <v>5973</v>
      </c>
      <c r="J39" s="49"/>
      <c r="K39" s="388">
        <v>1421</v>
      </c>
      <c r="L39" s="50">
        <v>117800.99206542969</v>
      </c>
      <c r="M39" s="51">
        <v>12726</v>
      </c>
      <c r="N39" s="51">
        <v>14368</v>
      </c>
      <c r="O39" s="51">
        <v>16285</v>
      </c>
      <c r="P39" s="51">
        <v>18831</v>
      </c>
      <c r="Q39" s="51">
        <v>21322.138157887257</v>
      </c>
      <c r="R39" s="51">
        <v>23904.037277252552</v>
      </c>
      <c r="S39" s="51">
        <v>26711.595095647863</v>
      </c>
      <c r="T39" s="51">
        <v>29878.041158497988</v>
      </c>
      <c r="U39" s="51">
        <v>33446.623073806608</v>
      </c>
      <c r="V39" s="208">
        <v>0.8</v>
      </c>
      <c r="W39" s="208">
        <v>0.8</v>
      </c>
      <c r="X39" s="208">
        <v>0.8</v>
      </c>
      <c r="Y39" s="208">
        <v>0.8</v>
      </c>
      <c r="Z39" s="208">
        <v>0.8</v>
      </c>
      <c r="AA39" s="208">
        <v>0.8</v>
      </c>
      <c r="AB39" s="208">
        <v>0.8</v>
      </c>
      <c r="AC39" s="208">
        <v>0.8</v>
      </c>
      <c r="AD39" s="208">
        <v>0.8</v>
      </c>
      <c r="AE39" s="209">
        <v>10180.800000000001</v>
      </c>
      <c r="AF39" s="209">
        <v>11494.400000000001</v>
      </c>
      <c r="AG39" s="209">
        <v>13028</v>
      </c>
      <c r="AH39" s="209">
        <v>15064.800000000001</v>
      </c>
      <c r="AI39" s="209">
        <v>17057.710526309806</v>
      </c>
      <c r="AJ39" s="209">
        <v>19123.229821802041</v>
      </c>
      <c r="AK39" s="209">
        <v>21369.27607651829</v>
      </c>
      <c r="AL39" s="209">
        <v>23902.432926798392</v>
      </c>
      <c r="AM39" s="209">
        <v>26757.298459045287</v>
      </c>
      <c r="AN39" s="53">
        <v>12.918745541565055</v>
      </c>
      <c r="AO39" s="53">
        <v>15.468286011712205</v>
      </c>
      <c r="AP39" s="53">
        <v>18.278391935831721</v>
      </c>
      <c r="AQ39" s="53">
        <v>21.81595649186896</v>
      </c>
      <c r="AR39" s="53">
        <v>25.883022611684346</v>
      </c>
      <c r="AS39" s="53">
        <v>30.300189957801781</v>
      </c>
      <c r="AT39" s="53">
        <v>35.409788154608229</v>
      </c>
      <c r="AU39" s="53">
        <v>41.409191779441514</v>
      </c>
      <c r="AV39" s="53">
        <v>48.451254922306063</v>
      </c>
      <c r="AW39" s="53">
        <v>9.9559584686777463</v>
      </c>
      <c r="AX39" s="53">
        <v>11.672446489023557</v>
      </c>
      <c r="AY39" s="53">
        <v>13.820115637071087</v>
      </c>
      <c r="AZ39" s="54">
        <v>16.694311871824336</v>
      </c>
      <c r="BA39" s="54">
        <v>19.970928301536706</v>
      </c>
      <c r="BB39" s="54">
        <v>23.797055294243172</v>
      </c>
      <c r="BC39" s="54">
        <v>28.11911489146722</v>
      </c>
      <c r="BD39" s="54">
        <v>33.07389885909145</v>
      </c>
      <c r="BE39" s="54">
        <v>38.910211198271746</v>
      </c>
      <c r="BF39" s="55">
        <v>7.2337115176806686</v>
      </c>
      <c r="BG39" s="55">
        <v>6.2556949745329344</v>
      </c>
      <c r="BH39" s="55">
        <v>5.5248207845353452</v>
      </c>
      <c r="BI39" s="55">
        <v>4.9280793323365053</v>
      </c>
      <c r="BJ39" s="55">
        <v>4.4101069832637245</v>
      </c>
      <c r="BK39" s="55">
        <v>3.9427280871766399</v>
      </c>
      <c r="BL39" s="55">
        <v>3.5220593662169848</v>
      </c>
      <c r="BM39" s="55">
        <v>6.9060259806691811</v>
      </c>
      <c r="BN39" s="55">
        <v>6.1600991654206316</v>
      </c>
      <c r="BO39" s="55">
        <v>5.5126337290796554</v>
      </c>
      <c r="BP39" s="55">
        <v>4.928410108970799</v>
      </c>
      <c r="BQ39" s="55">
        <v>4.4025742077712309</v>
      </c>
      <c r="BR39" s="55">
        <v>15.944621828592625</v>
      </c>
      <c r="BS39" s="55">
        <v>13.62021188312573</v>
      </c>
      <c r="BT39" s="55">
        <v>11.654828476303964</v>
      </c>
      <c r="BU39" s="55">
        <v>9.9662656910176661</v>
      </c>
      <c r="BV39" s="55">
        <v>8.5177361863174692</v>
      </c>
      <c r="BW39" s="187">
        <v>20.664788391056568</v>
      </c>
      <c r="BX39" s="55">
        <v>17.342272067756856</v>
      </c>
      <c r="BY39" s="55">
        <v>14.676671328991638</v>
      </c>
      <c r="BZ39" s="55">
        <v>12.477966661338325</v>
      </c>
      <c r="CA39" s="382">
        <v>10.606342001622165</v>
      </c>
      <c r="CB39" s="49" t="s">
        <v>55</v>
      </c>
      <c r="CC39" s="56">
        <v>20</v>
      </c>
      <c r="CD39" s="56">
        <v>20</v>
      </c>
      <c r="CE39" s="170">
        <v>20</v>
      </c>
      <c r="CF39" s="56">
        <v>20</v>
      </c>
      <c r="CG39" s="56">
        <v>25</v>
      </c>
      <c r="CH39" s="107">
        <v>642.5204929445656</v>
      </c>
      <c r="CI39" s="107">
        <v>759.21610206961498</v>
      </c>
      <c r="CJ39" s="107">
        <v>892.99526919546918</v>
      </c>
      <c r="CK39" s="107">
        <v>1050.5757023533372</v>
      </c>
      <c r="CL39" s="107">
        <v>1236.1775925604047</v>
      </c>
      <c r="CM39" s="212">
        <v>475.94110588486342</v>
      </c>
      <c r="CN39" s="212">
        <v>562.38229782934445</v>
      </c>
      <c r="CO39" s="212">
        <v>661.47797718182903</v>
      </c>
      <c r="CP39" s="212">
        <v>778.20422396543495</v>
      </c>
      <c r="CQ39" s="57"/>
      <c r="CR39" s="57"/>
      <c r="CS39" s="57"/>
      <c r="CT39" s="57"/>
      <c r="CU39" s="57"/>
      <c r="CV39" s="57"/>
      <c r="CW39" s="108"/>
      <c r="CX39" s="108"/>
      <c r="CY39" s="108"/>
      <c r="CZ39" s="108"/>
      <c r="DA39" s="108"/>
      <c r="DB39" s="110"/>
      <c r="DC39" s="110"/>
      <c r="DD39" s="110"/>
      <c r="DE39" s="110"/>
      <c r="DF39" s="110"/>
      <c r="DG39" s="110"/>
      <c r="DH39" s="110"/>
      <c r="DI39" s="110"/>
      <c r="DJ39" s="110"/>
      <c r="DK39" s="110"/>
      <c r="DL39" s="57"/>
      <c r="DM39" s="57"/>
      <c r="DN39" s="389">
        <v>5.14539454590928</v>
      </c>
      <c r="DO39" s="389">
        <v>6.02350175587714</v>
      </c>
      <c r="DP39" s="389">
        <v>7.0392601967698702</v>
      </c>
      <c r="DQ39" s="389">
        <v>8.2319067880528465</v>
      </c>
      <c r="DR39" s="389">
        <v>9.6318280349201615</v>
      </c>
      <c r="DS39" s="79">
        <v>0.27259293928552064</v>
      </c>
      <c r="DT39" s="79">
        <v>0.2228221063883058</v>
      </c>
      <c r="DU39" s="58">
        <v>0.20850713546502053</v>
      </c>
      <c r="DV39" s="58">
        <v>0.20179149857033463</v>
      </c>
      <c r="DW39" s="213">
        <v>1.1657192161106631</v>
      </c>
      <c r="DX39" s="214">
        <v>1.3897701303678274</v>
      </c>
      <c r="DY39" s="214">
        <v>1.6469453751991112</v>
      </c>
      <c r="DZ39" s="214">
        <v>1.9497310919002826</v>
      </c>
      <c r="EA39" s="79">
        <v>4.9446919999999998E-2</v>
      </c>
      <c r="EB39" s="58">
        <v>8.1655900000000003E-2</v>
      </c>
      <c r="EC39" s="196">
        <v>-0.36568959999999995</v>
      </c>
      <c r="ED39" s="368"/>
      <c r="EE39" s="58"/>
      <c r="EF39" s="368"/>
      <c r="EG39" s="58"/>
      <c r="EH39" s="368"/>
      <c r="EI39" s="58"/>
      <c r="EJ39" s="196"/>
      <c r="EK39" s="6"/>
      <c r="EL39" s="194"/>
    </row>
    <row r="40" spans="2:142" ht="18" x14ac:dyDescent="0.4">
      <c r="B40" s="161" t="s">
        <v>149</v>
      </c>
      <c r="C40" s="289"/>
      <c r="D40" s="16"/>
      <c r="E40" s="16"/>
      <c r="F40" s="149"/>
      <c r="G40" s="39"/>
      <c r="H40" s="25"/>
      <c r="I40" s="2"/>
      <c r="K40" s="76"/>
      <c r="L40" s="76"/>
      <c r="M40" s="3"/>
      <c r="N40" s="3"/>
      <c r="O40" s="3"/>
      <c r="P40" s="3"/>
      <c r="Q40" s="3"/>
      <c r="R40" s="3"/>
      <c r="S40" s="3"/>
      <c r="T40" s="3"/>
      <c r="U40" s="3"/>
      <c r="V40" s="4"/>
      <c r="W40" s="4"/>
      <c r="X40" s="4"/>
      <c r="Y40" s="4"/>
      <c r="Z40" s="4"/>
      <c r="AA40" s="4"/>
      <c r="AB40" s="4"/>
      <c r="AC40" s="4"/>
      <c r="AD40" s="4"/>
      <c r="AE40" s="3"/>
      <c r="AF40" s="3"/>
      <c r="AG40" s="3"/>
      <c r="AH40" s="3"/>
      <c r="AI40" s="3"/>
      <c r="AJ40" s="3"/>
      <c r="AK40" s="3"/>
      <c r="AL40" s="3"/>
      <c r="AM40" s="3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8"/>
      <c r="BA40" s="18"/>
      <c r="BB40" s="18"/>
      <c r="BC40" s="18"/>
      <c r="BD40" s="18"/>
      <c r="BE40" s="18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8"/>
      <c r="BX40" s="5"/>
      <c r="BY40" s="5"/>
      <c r="BZ40" s="5"/>
      <c r="CA40" s="378"/>
      <c r="CC40" s="12"/>
      <c r="CD40" s="12"/>
      <c r="CE40" s="168"/>
      <c r="CF40" s="82"/>
      <c r="CG40" s="82"/>
      <c r="CH40" s="46"/>
      <c r="CI40" s="46"/>
      <c r="CJ40" s="46"/>
      <c r="CK40" s="46"/>
      <c r="CL40" s="46"/>
      <c r="CM40" s="43"/>
      <c r="CN40" s="43"/>
      <c r="CO40" s="43"/>
      <c r="CP40" s="43"/>
      <c r="CQ40" s="7"/>
      <c r="CR40" s="7"/>
      <c r="CS40" s="7"/>
      <c r="CT40" s="7"/>
      <c r="CU40" s="7"/>
      <c r="CV40" s="7"/>
      <c r="CW40" s="41"/>
      <c r="CX40" s="41"/>
      <c r="CY40" s="41"/>
      <c r="CZ40" s="41"/>
      <c r="DA40" s="101"/>
      <c r="DB40" s="40"/>
      <c r="DC40" s="40"/>
      <c r="DD40" s="40"/>
      <c r="DE40" s="40"/>
      <c r="DF40" s="40"/>
      <c r="DG40" s="40"/>
      <c r="DH40" s="40"/>
      <c r="DI40" s="40"/>
      <c r="DJ40" s="40"/>
      <c r="DK40" s="40"/>
      <c r="DL40" s="7"/>
      <c r="DM40" s="7"/>
      <c r="DN40" s="85"/>
      <c r="DO40" s="85"/>
      <c r="DP40" s="85"/>
      <c r="DQ40" s="85"/>
      <c r="DR40" s="85"/>
      <c r="DS40" s="78"/>
      <c r="DT40" s="78"/>
      <c r="DU40" s="6"/>
      <c r="DV40" s="6"/>
      <c r="DW40" s="171"/>
      <c r="DX40" s="132"/>
      <c r="DY40" s="132"/>
      <c r="DZ40" s="132"/>
      <c r="EA40" s="78"/>
      <c r="EB40" s="6"/>
      <c r="EC40" s="194"/>
      <c r="ED40" s="6"/>
      <c r="EE40" s="175"/>
      <c r="EF40" s="6"/>
      <c r="EG40" s="6"/>
      <c r="EH40" s="6"/>
      <c r="EI40" s="6"/>
      <c r="EJ40" s="194"/>
      <c r="EK40" s="6"/>
      <c r="EL40" s="194"/>
    </row>
    <row r="41" spans="2:142" x14ac:dyDescent="0.25">
      <c r="B41" s="38"/>
      <c r="D41" s="143"/>
      <c r="E41" s="147"/>
      <c r="F41" s="149"/>
      <c r="G41" s="3"/>
      <c r="H41" s="25"/>
      <c r="I41" s="3"/>
      <c r="J41" s="3"/>
      <c r="K41" s="76"/>
      <c r="L41" s="76"/>
      <c r="M41" s="3"/>
      <c r="N41" s="3"/>
      <c r="O41" s="3"/>
      <c r="P41" s="3"/>
      <c r="Q41" s="3"/>
      <c r="R41" s="3"/>
      <c r="S41" s="3"/>
      <c r="T41" s="3"/>
      <c r="U41" s="3"/>
      <c r="V41" s="21"/>
      <c r="W41" s="21"/>
      <c r="X41" s="21"/>
      <c r="Y41" s="21"/>
      <c r="Z41" s="21"/>
      <c r="AA41" s="21"/>
      <c r="AB41" s="21"/>
      <c r="AC41" s="21"/>
      <c r="AD41" s="21"/>
      <c r="AE41" s="144"/>
      <c r="AF41" s="144"/>
      <c r="AG41" s="144"/>
      <c r="AH41" s="144"/>
      <c r="AI41" s="144"/>
      <c r="AJ41" s="144"/>
      <c r="AK41" s="144"/>
      <c r="AL41" s="144"/>
      <c r="AM41" s="144"/>
      <c r="AN41" s="11"/>
      <c r="AO41" s="11"/>
      <c r="AP41" s="11"/>
      <c r="AQ41" s="11"/>
      <c r="AR41" s="11"/>
      <c r="AS41" s="11"/>
      <c r="AT41" s="11"/>
      <c r="AU41" s="11"/>
      <c r="AV41" s="230"/>
      <c r="AW41" s="145"/>
      <c r="AX41" s="145"/>
      <c r="AY41" s="145"/>
      <c r="AZ41" s="145"/>
      <c r="BA41" s="145"/>
      <c r="BB41" s="145"/>
      <c r="BC41" s="145"/>
      <c r="BD41" s="145"/>
      <c r="BE41" s="14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8"/>
      <c r="BX41" s="5"/>
      <c r="BY41" s="5"/>
      <c r="BZ41" s="5"/>
      <c r="CA41" s="378"/>
      <c r="CC41" s="12"/>
      <c r="CD41" s="12"/>
      <c r="CE41" s="167"/>
      <c r="CF41" s="12"/>
      <c r="CG41" s="82"/>
      <c r="CH41" s="46"/>
      <c r="CI41" s="46"/>
      <c r="CJ41" s="46"/>
      <c r="CK41" s="46"/>
      <c r="CL41" s="46"/>
      <c r="CM41" s="43"/>
      <c r="CN41" s="43"/>
      <c r="CO41" s="43"/>
      <c r="CP41" s="43"/>
      <c r="CQ41" s="7"/>
      <c r="CR41" s="7"/>
      <c r="CS41" s="7"/>
      <c r="CT41" s="7"/>
      <c r="CU41" s="7"/>
      <c r="CV41" s="7"/>
      <c r="CW41" s="41"/>
      <c r="CX41" s="41"/>
      <c r="CY41" s="41"/>
      <c r="CZ41" s="41"/>
      <c r="DA41" s="19"/>
      <c r="DB41" s="40"/>
      <c r="DC41" s="198"/>
      <c r="DD41" s="198"/>
      <c r="DE41" s="198"/>
      <c r="DF41" s="198"/>
      <c r="DG41" s="40"/>
      <c r="DH41" s="40"/>
      <c r="DI41" s="40"/>
      <c r="DJ41" s="40"/>
      <c r="DK41" s="40"/>
      <c r="DL41" s="7"/>
      <c r="DM41" s="7"/>
      <c r="DN41" s="7"/>
      <c r="DO41" s="7"/>
      <c r="DP41" s="7"/>
      <c r="DQ41" s="7"/>
      <c r="DR41" s="7"/>
      <c r="DS41" s="78"/>
      <c r="DT41" s="78"/>
      <c r="DU41" s="6"/>
      <c r="DV41" s="6"/>
      <c r="DW41" s="171"/>
      <c r="DX41" s="132"/>
      <c r="DY41" s="132"/>
      <c r="DZ41" s="132"/>
      <c r="EA41" s="78"/>
      <c r="EB41" s="6"/>
      <c r="EC41" s="194"/>
      <c r="ED41" s="363"/>
      <c r="EE41" s="6"/>
      <c r="EF41" s="363"/>
      <c r="EG41" s="6"/>
      <c r="EH41" s="363"/>
      <c r="EI41" s="6"/>
      <c r="EJ41" s="194"/>
      <c r="EK41" s="6"/>
      <c r="EL41" s="194"/>
    </row>
    <row r="42" spans="2:142" ht="15.75" x14ac:dyDescent="0.25">
      <c r="B42" s="161" t="s">
        <v>152</v>
      </c>
      <c r="C42" s="289"/>
      <c r="D42" s="143"/>
      <c r="E42" s="147"/>
      <c r="F42" s="149"/>
      <c r="G42" s="3"/>
      <c r="H42" s="25"/>
      <c r="I42" s="3"/>
      <c r="J42" s="3"/>
      <c r="K42" s="76"/>
      <c r="L42" s="76"/>
      <c r="M42" s="3"/>
      <c r="N42" s="3"/>
      <c r="O42" s="3"/>
      <c r="P42" s="3"/>
      <c r="Q42" s="3"/>
      <c r="R42" s="3"/>
      <c r="S42" s="3"/>
      <c r="T42" s="3"/>
      <c r="U42" s="3"/>
      <c r="V42" s="21"/>
      <c r="W42" s="21"/>
      <c r="X42" s="21"/>
      <c r="Y42" s="21"/>
      <c r="Z42" s="21"/>
      <c r="AA42" s="21"/>
      <c r="AB42" s="21"/>
      <c r="AC42" s="21"/>
      <c r="AD42" s="21"/>
      <c r="AE42" s="144"/>
      <c r="AF42" s="144"/>
      <c r="AG42" s="144"/>
      <c r="AH42" s="144"/>
      <c r="AI42" s="144"/>
      <c r="AJ42" s="144"/>
      <c r="AK42" s="144"/>
      <c r="AL42" s="144"/>
      <c r="AM42" s="144"/>
      <c r="AN42" s="11"/>
      <c r="AO42" s="11"/>
      <c r="AP42" s="11"/>
      <c r="AQ42" s="11"/>
      <c r="AR42" s="11"/>
      <c r="AS42" s="11"/>
      <c r="AT42" s="11"/>
      <c r="AU42" s="11"/>
      <c r="AV42" s="230"/>
      <c r="AW42" s="145"/>
      <c r="AX42" s="145"/>
      <c r="AY42" s="145"/>
      <c r="AZ42" s="145"/>
      <c r="BA42" s="145"/>
      <c r="BB42" s="145"/>
      <c r="BC42" s="145"/>
      <c r="BD42" s="145"/>
      <c r="BE42" s="14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8"/>
      <c r="BX42" s="5"/>
      <c r="BY42" s="5"/>
      <c r="BZ42" s="5"/>
      <c r="CA42" s="378"/>
      <c r="CC42" s="12"/>
      <c r="CD42" s="12"/>
      <c r="CE42" s="167"/>
      <c r="CF42" s="12"/>
      <c r="CG42" s="82"/>
      <c r="CH42" s="46"/>
      <c r="CI42" s="46"/>
      <c r="CJ42" s="46"/>
      <c r="CK42" s="46"/>
      <c r="CL42" s="46"/>
      <c r="CM42" s="43"/>
      <c r="CN42" s="43"/>
      <c r="CO42" s="43"/>
      <c r="CP42" s="43"/>
      <c r="CQ42" s="7"/>
      <c r="CR42" s="7"/>
      <c r="CS42" s="7"/>
      <c r="CT42" s="7"/>
      <c r="CU42" s="7"/>
      <c r="CV42" s="7"/>
      <c r="CW42" s="41"/>
      <c r="CX42" s="41"/>
      <c r="CY42" s="41"/>
      <c r="CZ42" s="41"/>
      <c r="DA42" s="19"/>
      <c r="DB42" s="40"/>
      <c r="DC42" s="198"/>
      <c r="DD42" s="198"/>
      <c r="DE42" s="198"/>
      <c r="DF42" s="198"/>
      <c r="DG42" s="40"/>
      <c r="DH42" s="40"/>
      <c r="DI42" s="40"/>
      <c r="DJ42" s="40"/>
      <c r="DK42" s="40"/>
      <c r="DL42" s="7"/>
      <c r="DM42" s="7"/>
      <c r="DN42" s="7"/>
      <c r="DO42" s="7"/>
      <c r="DP42" s="7"/>
      <c r="DQ42" s="7"/>
      <c r="DR42" s="7"/>
      <c r="DS42" s="78"/>
      <c r="DT42" s="78"/>
      <c r="DU42" s="6"/>
      <c r="DV42" s="6"/>
      <c r="DW42" s="171"/>
      <c r="DX42" s="132"/>
      <c r="DY42" s="132"/>
      <c r="DZ42" s="132"/>
      <c r="EA42" s="78"/>
      <c r="EB42" s="6"/>
      <c r="EC42" s="194"/>
      <c r="ED42" s="363"/>
      <c r="EE42" s="6"/>
      <c r="EF42" s="363"/>
      <c r="EG42" s="6"/>
      <c r="EH42" s="363"/>
      <c r="EI42" s="6"/>
      <c r="EJ42" s="194"/>
      <c r="EK42" s="6"/>
      <c r="EL42" s="194"/>
    </row>
    <row r="43" spans="2:142" x14ac:dyDescent="0.25">
      <c r="B43" s="38"/>
      <c r="BW43" s="166"/>
      <c r="CA43" s="377"/>
      <c r="CE43" s="166"/>
      <c r="DC43" s="197"/>
      <c r="DD43" s="197"/>
      <c r="DE43" s="197"/>
      <c r="DF43" s="197"/>
      <c r="DS43" s="166"/>
      <c r="DT43" s="166"/>
      <c r="DW43" s="166"/>
      <c r="EA43" s="166"/>
      <c r="EC43" s="114"/>
      <c r="ED43" s="364"/>
      <c r="EF43" s="364"/>
      <c r="EH43" s="364"/>
      <c r="EJ43" s="114"/>
      <c r="EL43" s="114"/>
    </row>
    <row r="44" spans="2:142" ht="15.75" x14ac:dyDescent="0.25">
      <c r="B44" s="161" t="s">
        <v>148</v>
      </c>
      <c r="C44" s="289"/>
      <c r="D44" s="143"/>
      <c r="F44" s="149"/>
      <c r="G44" s="25"/>
      <c r="H44" s="25"/>
      <c r="I44" s="2"/>
      <c r="K44" s="76"/>
      <c r="L44" s="89"/>
      <c r="M44" s="3"/>
      <c r="N44" s="3"/>
      <c r="O44" s="3"/>
      <c r="P44" s="3"/>
      <c r="Q44" s="3"/>
      <c r="R44" s="3"/>
      <c r="S44" s="3"/>
      <c r="T44" s="3"/>
      <c r="U44" s="3"/>
      <c r="V44" s="21"/>
      <c r="W44" s="21"/>
      <c r="X44" s="21"/>
      <c r="Y44" s="21"/>
      <c r="Z44" s="21"/>
      <c r="AA44" s="21"/>
      <c r="AB44" s="21"/>
      <c r="AC44" s="21"/>
      <c r="AD44" s="21"/>
      <c r="AE44" s="144"/>
      <c r="AF44" s="144"/>
      <c r="AG44" s="144"/>
      <c r="AH44" s="144"/>
      <c r="AI44" s="144"/>
      <c r="AJ44" s="144"/>
      <c r="AK44" s="144"/>
      <c r="AL44" s="144"/>
      <c r="AM44" s="144"/>
      <c r="AN44" s="11"/>
      <c r="AO44" s="11"/>
      <c r="AP44" s="11"/>
      <c r="AQ44" s="11"/>
      <c r="AR44" s="11"/>
      <c r="AS44" s="11"/>
      <c r="AT44" s="11"/>
      <c r="AU44" s="11"/>
      <c r="AV44" s="11"/>
      <c r="AW44" s="145"/>
      <c r="AX44" s="145"/>
      <c r="AY44" s="145"/>
      <c r="AZ44" s="145"/>
      <c r="BA44" s="145"/>
      <c r="BB44" s="145"/>
      <c r="BC44" s="145"/>
      <c r="BD44" s="145"/>
      <c r="BE44" s="14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8"/>
      <c r="BX44" s="5"/>
      <c r="BY44" s="5"/>
      <c r="BZ44" s="5"/>
      <c r="CA44" s="5"/>
      <c r="CC44" s="12"/>
      <c r="CD44" s="12"/>
      <c r="CE44" s="167"/>
      <c r="CF44" s="12"/>
      <c r="CG44" s="82"/>
      <c r="CH44" s="46"/>
      <c r="CI44" s="46"/>
      <c r="CJ44" s="46"/>
      <c r="CK44" s="46"/>
      <c r="CL44" s="46"/>
      <c r="CM44" s="43"/>
      <c r="CN44" s="43"/>
      <c r="CO44" s="43"/>
      <c r="CP44" s="43"/>
      <c r="CQ44" s="7"/>
      <c r="CR44" s="7"/>
      <c r="CS44" s="7"/>
      <c r="CT44" s="7"/>
      <c r="CU44" s="7"/>
      <c r="CV44" s="7"/>
      <c r="CW44" s="19"/>
      <c r="CX44" s="19"/>
      <c r="CY44" s="19"/>
      <c r="CZ44" s="19"/>
      <c r="DA44" s="19"/>
      <c r="DB44" s="40"/>
      <c r="DC44" s="197"/>
      <c r="DD44" s="197"/>
      <c r="DE44" s="197"/>
      <c r="DF44" s="197"/>
      <c r="DG44" s="40"/>
      <c r="DH44" s="40"/>
      <c r="DI44" s="40"/>
      <c r="DJ44" s="40"/>
      <c r="DK44" s="40"/>
      <c r="DL44" s="7"/>
      <c r="DM44" s="7"/>
      <c r="DN44" s="7"/>
      <c r="DO44" s="7"/>
      <c r="DP44" s="7"/>
      <c r="DQ44" s="7"/>
      <c r="DR44" s="7"/>
      <c r="DS44" s="78"/>
      <c r="DT44" s="78"/>
      <c r="DU44" s="6"/>
      <c r="DV44" s="6"/>
      <c r="DW44" s="171"/>
      <c r="DX44" s="132"/>
      <c r="DY44" s="132"/>
      <c r="DZ44" s="132"/>
      <c r="EA44" s="78"/>
      <c r="EB44" s="6"/>
      <c r="EC44" s="194"/>
      <c r="ED44" s="363"/>
      <c r="EE44" s="6"/>
      <c r="EF44" s="363"/>
      <c r="EG44" s="6"/>
      <c r="EH44" s="363"/>
      <c r="EI44" s="6"/>
      <c r="EJ44" s="194"/>
      <c r="EK44" s="6"/>
      <c r="EL44" s="194"/>
    </row>
    <row r="45" spans="2:142" x14ac:dyDescent="0.25">
      <c r="B45" s="62"/>
      <c r="C45" s="63"/>
      <c r="D45" s="151"/>
      <c r="E45" s="63"/>
      <c r="F45" s="152"/>
      <c r="G45" s="64"/>
      <c r="H45" s="64"/>
      <c r="I45" s="86"/>
      <c r="J45" s="63"/>
      <c r="K45" s="72"/>
      <c r="L45" s="153"/>
      <c r="M45" s="154"/>
      <c r="N45" s="154"/>
      <c r="O45" s="154"/>
      <c r="P45" s="154"/>
      <c r="Q45" s="154"/>
      <c r="R45" s="154"/>
      <c r="S45" s="154"/>
      <c r="T45" s="154"/>
      <c r="U45" s="154"/>
      <c r="V45" s="65"/>
      <c r="W45" s="65"/>
      <c r="X45" s="65"/>
      <c r="Y45" s="65"/>
      <c r="Z45" s="65"/>
      <c r="AA45" s="65"/>
      <c r="AB45" s="65"/>
      <c r="AC45" s="65"/>
      <c r="AD45" s="65"/>
      <c r="AE45" s="155"/>
      <c r="AF45" s="155"/>
      <c r="AG45" s="155"/>
      <c r="AH45" s="155"/>
      <c r="AI45" s="155"/>
      <c r="AJ45" s="155"/>
      <c r="AK45" s="155"/>
      <c r="AL45" s="155"/>
      <c r="AM45" s="155"/>
      <c r="AN45" s="156"/>
      <c r="AO45" s="156"/>
      <c r="AP45" s="156"/>
      <c r="AQ45" s="156"/>
      <c r="AR45" s="156"/>
      <c r="AS45" s="156"/>
      <c r="AT45" s="156"/>
      <c r="AU45" s="156"/>
      <c r="AV45" s="156"/>
      <c r="AW45" s="157"/>
      <c r="AX45" s="157"/>
      <c r="AY45" s="157"/>
      <c r="AZ45" s="157"/>
      <c r="BA45" s="157"/>
      <c r="BB45" s="157"/>
      <c r="BC45" s="157"/>
      <c r="BD45" s="157"/>
      <c r="BE45" s="157"/>
      <c r="BF45" s="158"/>
      <c r="BG45" s="158"/>
      <c r="BH45" s="158"/>
      <c r="BI45" s="158"/>
      <c r="BJ45" s="158"/>
      <c r="BK45" s="158"/>
      <c r="BL45" s="158"/>
      <c r="BM45" s="158"/>
      <c r="BN45" s="158"/>
      <c r="BO45" s="158"/>
      <c r="BP45" s="158"/>
      <c r="BQ45" s="158"/>
      <c r="BR45" s="158"/>
      <c r="BS45" s="158"/>
      <c r="BT45" s="158"/>
      <c r="BU45" s="158"/>
      <c r="BV45" s="158"/>
      <c r="BW45" s="66"/>
      <c r="BX45" s="158"/>
      <c r="BY45" s="158"/>
      <c r="BZ45" s="158"/>
      <c r="CA45" s="158"/>
      <c r="CB45" s="63"/>
      <c r="CC45" s="67"/>
      <c r="CD45" s="67"/>
      <c r="CE45" s="169"/>
      <c r="CF45" s="67"/>
      <c r="CG45" s="67"/>
      <c r="CH45" s="68"/>
      <c r="CI45" s="68"/>
      <c r="CJ45" s="68"/>
      <c r="CK45" s="68"/>
      <c r="CL45" s="68"/>
      <c r="CM45" s="73"/>
      <c r="CN45" s="73"/>
      <c r="CO45" s="73"/>
      <c r="CP45" s="73"/>
      <c r="CQ45" s="69"/>
      <c r="CR45" s="69"/>
      <c r="CS45" s="69"/>
      <c r="CT45" s="69"/>
      <c r="CU45" s="69"/>
      <c r="CV45" s="69"/>
      <c r="CW45" s="74"/>
      <c r="CX45" s="74"/>
      <c r="CY45" s="74"/>
      <c r="CZ45" s="74"/>
      <c r="DA45" s="74"/>
      <c r="DB45" s="70"/>
      <c r="DC45" s="70"/>
      <c r="DD45" s="70"/>
      <c r="DE45" s="70"/>
      <c r="DF45" s="70"/>
      <c r="DG45" s="70"/>
      <c r="DH45" s="70"/>
      <c r="DI45" s="70"/>
      <c r="DJ45" s="70"/>
      <c r="DK45" s="70"/>
      <c r="DL45" s="69"/>
      <c r="DM45" s="69"/>
      <c r="DN45" s="69"/>
      <c r="DO45" s="69"/>
      <c r="DP45" s="69"/>
      <c r="DQ45" s="69"/>
      <c r="DR45" s="69"/>
      <c r="DS45" s="77"/>
      <c r="DT45" s="77"/>
      <c r="DU45" s="71"/>
      <c r="DV45" s="71"/>
      <c r="DW45" s="166"/>
      <c r="EA45" s="77"/>
      <c r="EB45" s="71"/>
      <c r="EC45" s="195"/>
      <c r="ED45" s="363"/>
      <c r="EE45" s="71"/>
      <c r="EF45" s="363"/>
      <c r="EG45" s="71"/>
      <c r="EH45" s="363"/>
      <c r="EI45" s="71"/>
      <c r="EJ45" s="195"/>
      <c r="EK45" s="71"/>
      <c r="EL45" s="195"/>
    </row>
    <row r="46" spans="2:142" ht="15.75" x14ac:dyDescent="0.25">
      <c r="B46" s="161" t="s">
        <v>247</v>
      </c>
      <c r="C46" s="289"/>
      <c r="BW46" s="166"/>
      <c r="CE46" s="166"/>
      <c r="DS46" s="166"/>
      <c r="DT46" s="166"/>
      <c r="DW46" s="166"/>
      <c r="EA46" s="166"/>
      <c r="EC46" s="114"/>
      <c r="ED46" s="364"/>
      <c r="EF46" s="364"/>
      <c r="EH46" s="364"/>
      <c r="EJ46" s="114"/>
      <c r="EL46" s="114"/>
    </row>
    <row r="47" spans="2:142" x14ac:dyDescent="0.25">
      <c r="B47" s="38"/>
      <c r="D47" s="143"/>
      <c r="E47" s="147"/>
      <c r="F47" s="149"/>
      <c r="G47" s="39"/>
      <c r="H47" s="25"/>
      <c r="I47" s="2"/>
      <c r="J47" s="2"/>
      <c r="K47" s="76"/>
      <c r="L47" s="76"/>
      <c r="M47" s="3"/>
      <c r="N47" s="3"/>
      <c r="O47" s="3"/>
      <c r="P47" s="3"/>
      <c r="Q47" s="3"/>
      <c r="R47" s="3"/>
      <c r="S47" s="3"/>
      <c r="T47" s="3"/>
      <c r="U47" s="3"/>
      <c r="V47" s="4"/>
      <c r="W47" s="4"/>
      <c r="X47" s="4"/>
      <c r="Y47" s="4"/>
      <c r="Z47" s="4"/>
      <c r="AA47" s="4"/>
      <c r="AB47" s="4"/>
      <c r="AC47" s="4"/>
      <c r="AD47" s="4"/>
      <c r="AE47" s="146"/>
      <c r="AF47" s="146"/>
      <c r="AG47" s="146"/>
      <c r="AH47" s="146"/>
      <c r="AI47" s="146"/>
      <c r="AJ47" s="146"/>
      <c r="AK47" s="146"/>
      <c r="AL47" s="146"/>
      <c r="AM47" s="146"/>
      <c r="AN47" s="148"/>
      <c r="AO47" s="148"/>
      <c r="AP47" s="148"/>
      <c r="AQ47" s="148"/>
      <c r="AR47" s="148"/>
      <c r="AS47" s="148"/>
      <c r="AT47" s="148"/>
      <c r="AU47" s="11"/>
      <c r="AV47" s="11"/>
      <c r="AW47" s="148"/>
      <c r="AX47" s="148"/>
      <c r="AY47" s="148"/>
      <c r="AZ47" s="148"/>
      <c r="BA47" s="148"/>
      <c r="BB47" s="148"/>
      <c r="BC47" s="148"/>
      <c r="BD47" s="11"/>
      <c r="BE47" s="11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8"/>
      <c r="BX47" s="5"/>
      <c r="BY47" s="5"/>
      <c r="BZ47" s="5"/>
      <c r="CA47" s="5"/>
      <c r="CC47" s="12"/>
      <c r="CD47" s="12"/>
      <c r="CE47" s="167"/>
      <c r="CF47" s="12"/>
      <c r="CG47" s="12"/>
      <c r="CH47" s="46"/>
      <c r="CI47" s="46"/>
      <c r="CJ47" s="46"/>
      <c r="CK47" s="46"/>
      <c r="CL47" s="46"/>
      <c r="CM47" s="43"/>
      <c r="CN47" s="43"/>
      <c r="CO47" s="43"/>
      <c r="CP47" s="43"/>
      <c r="CQ47" s="7"/>
      <c r="CR47" s="7"/>
      <c r="CS47" s="7"/>
      <c r="CT47" s="7"/>
      <c r="CU47" s="7"/>
      <c r="CV47" s="7"/>
      <c r="CW47" s="101"/>
      <c r="CX47" s="101"/>
      <c r="CY47" s="101"/>
      <c r="CZ47" s="101"/>
      <c r="DA47" s="101"/>
      <c r="DB47" s="40"/>
      <c r="DC47" s="40"/>
      <c r="DD47" s="40"/>
      <c r="DE47" s="40"/>
      <c r="DF47" s="40"/>
      <c r="DG47" s="40"/>
      <c r="DH47" s="40"/>
      <c r="DI47" s="40"/>
      <c r="DJ47" s="40"/>
      <c r="DK47" s="40"/>
      <c r="DL47" s="7"/>
      <c r="DM47" s="7"/>
      <c r="DN47" s="7"/>
      <c r="DO47" s="7"/>
      <c r="DP47" s="7"/>
      <c r="DQ47" s="7"/>
      <c r="DR47" s="7"/>
      <c r="DS47" s="78"/>
      <c r="DT47" s="78"/>
      <c r="DU47" s="6"/>
      <c r="DV47" s="6"/>
      <c r="DW47" s="171"/>
      <c r="DX47" s="132"/>
      <c r="DY47" s="132"/>
      <c r="DZ47" s="132"/>
      <c r="EA47" s="78"/>
      <c r="EB47" s="6"/>
      <c r="EC47" s="194"/>
      <c r="ED47" s="363"/>
      <c r="EE47" s="6"/>
      <c r="EF47" s="363"/>
      <c r="EG47" s="6"/>
      <c r="EH47" s="363"/>
      <c r="EI47" s="6"/>
      <c r="EJ47" s="194"/>
      <c r="EK47" s="6"/>
      <c r="EL47" s="194"/>
    </row>
    <row r="48" spans="2:142" ht="15.75" x14ac:dyDescent="0.25">
      <c r="B48" s="161" t="s">
        <v>155</v>
      </c>
      <c r="C48" s="289"/>
      <c r="D48" s="151"/>
      <c r="E48" s="63"/>
      <c r="F48" s="152"/>
      <c r="G48" s="64"/>
      <c r="H48" s="64"/>
      <c r="I48" s="86"/>
      <c r="J48" s="63"/>
      <c r="K48" s="72"/>
      <c r="L48" s="153"/>
      <c r="M48" s="154"/>
      <c r="N48" s="154"/>
      <c r="O48" s="154"/>
      <c r="P48" s="154"/>
      <c r="Q48" s="154"/>
      <c r="R48" s="154"/>
      <c r="S48" s="154"/>
      <c r="T48" s="154"/>
      <c r="U48" s="154"/>
      <c r="V48" s="65"/>
      <c r="W48" s="65"/>
      <c r="X48" s="65"/>
      <c r="Y48" s="65"/>
      <c r="Z48" s="65"/>
      <c r="AA48" s="65"/>
      <c r="AB48" s="65"/>
      <c r="AC48" s="65"/>
      <c r="AD48" s="65"/>
      <c r="AE48" s="155"/>
      <c r="AF48" s="155"/>
      <c r="AG48" s="155"/>
      <c r="AH48" s="155"/>
      <c r="AI48" s="155"/>
      <c r="AJ48" s="155"/>
      <c r="AK48" s="155"/>
      <c r="AL48" s="155"/>
      <c r="AM48" s="155"/>
      <c r="AN48" s="156"/>
      <c r="AO48" s="156"/>
      <c r="AP48" s="156"/>
      <c r="AQ48" s="156"/>
      <c r="AR48" s="156"/>
      <c r="AS48" s="156"/>
      <c r="AT48" s="156"/>
      <c r="AU48" s="156"/>
      <c r="AV48" s="156"/>
      <c r="AW48" s="157"/>
      <c r="AX48" s="157"/>
      <c r="AY48" s="157"/>
      <c r="AZ48" s="157"/>
      <c r="BA48" s="157"/>
      <c r="BB48" s="157"/>
      <c r="BC48" s="157"/>
      <c r="BD48" s="157"/>
      <c r="BE48" s="157"/>
      <c r="BF48" s="158"/>
      <c r="BG48" s="158"/>
      <c r="BH48" s="158"/>
      <c r="BI48" s="158"/>
      <c r="BJ48" s="158"/>
      <c r="BK48" s="158"/>
      <c r="BL48" s="158"/>
      <c r="BM48" s="158"/>
      <c r="BN48" s="158"/>
      <c r="BO48" s="158"/>
      <c r="BP48" s="158"/>
      <c r="BQ48" s="158"/>
      <c r="BR48" s="158"/>
      <c r="BS48" s="158"/>
      <c r="BT48" s="158"/>
      <c r="BU48" s="158"/>
      <c r="BV48" s="158"/>
      <c r="BW48" s="66"/>
      <c r="BX48" s="158"/>
      <c r="BY48" s="158"/>
      <c r="BZ48" s="158"/>
      <c r="CA48" s="158"/>
      <c r="CB48" s="63"/>
      <c r="CC48" s="67"/>
      <c r="CD48" s="67"/>
      <c r="CE48" s="375"/>
      <c r="CF48" s="67"/>
      <c r="CG48" s="67"/>
      <c r="CH48" s="68"/>
      <c r="CI48" s="68"/>
      <c r="CJ48" s="68"/>
      <c r="CK48" s="68"/>
      <c r="CL48" s="68"/>
      <c r="CM48" s="73"/>
      <c r="CN48" s="73"/>
      <c r="CO48" s="73"/>
      <c r="CP48" s="73"/>
      <c r="CQ48" s="69"/>
      <c r="CR48" s="69"/>
      <c r="CS48" s="69"/>
      <c r="CT48" s="69"/>
      <c r="CU48" s="69"/>
      <c r="CV48" s="69"/>
      <c r="CW48" s="74"/>
      <c r="CX48" s="74"/>
      <c r="CY48" s="74"/>
      <c r="CZ48" s="74"/>
      <c r="DA48" s="74"/>
      <c r="DB48" s="70"/>
      <c r="DC48" s="70"/>
      <c r="DD48" s="70"/>
      <c r="DE48" s="70"/>
      <c r="DF48" s="70"/>
      <c r="DG48" s="70"/>
      <c r="DH48" s="70"/>
      <c r="DI48" s="70"/>
      <c r="DJ48" s="70"/>
      <c r="DK48" s="70"/>
      <c r="DL48" s="69"/>
      <c r="DM48" s="69"/>
      <c r="DN48" s="69"/>
      <c r="DO48" s="69"/>
      <c r="DP48" s="69"/>
      <c r="DQ48" s="69"/>
      <c r="DR48" s="69"/>
      <c r="DS48" s="77"/>
      <c r="DT48" s="77"/>
      <c r="DU48" s="71"/>
      <c r="DV48" s="71"/>
      <c r="DW48" s="166"/>
      <c r="EA48" s="77"/>
      <c r="EB48" s="71"/>
      <c r="EC48" s="195"/>
      <c r="ED48" s="363"/>
      <c r="EE48" s="71"/>
      <c r="EF48" s="363"/>
      <c r="EG48" s="71"/>
      <c r="EH48" s="363"/>
      <c r="EI48" s="71"/>
      <c r="EJ48" s="195"/>
      <c r="EK48" s="71"/>
      <c r="EL48" s="195"/>
    </row>
    <row r="49" spans="2:142" x14ac:dyDescent="0.25">
      <c r="B49" s="38"/>
      <c r="D49" s="151"/>
      <c r="E49" s="63"/>
      <c r="F49" s="152"/>
      <c r="G49" s="64"/>
      <c r="H49" s="64"/>
      <c r="I49" s="86"/>
      <c r="J49" s="63"/>
      <c r="K49" s="72"/>
      <c r="L49" s="153"/>
      <c r="M49" s="154"/>
      <c r="N49" s="154"/>
      <c r="O49" s="154"/>
      <c r="P49" s="154"/>
      <c r="Q49" s="154"/>
      <c r="R49" s="154"/>
      <c r="S49" s="154"/>
      <c r="T49" s="154"/>
      <c r="U49" s="154"/>
      <c r="V49" s="65"/>
      <c r="W49" s="65"/>
      <c r="X49" s="65"/>
      <c r="Y49" s="65"/>
      <c r="Z49" s="65"/>
      <c r="AA49" s="65"/>
      <c r="AB49" s="65"/>
      <c r="AC49" s="65"/>
      <c r="AD49" s="65"/>
      <c r="AE49" s="155"/>
      <c r="AF49" s="155"/>
      <c r="AG49" s="155"/>
      <c r="AH49" s="155"/>
      <c r="AI49" s="155"/>
      <c r="AJ49" s="155"/>
      <c r="AK49" s="155"/>
      <c r="AL49" s="155"/>
      <c r="AM49" s="155"/>
      <c r="AN49" s="156"/>
      <c r="AO49" s="156"/>
      <c r="AP49" s="156"/>
      <c r="AQ49" s="156"/>
      <c r="AR49" s="156"/>
      <c r="AS49" s="156"/>
      <c r="AT49" s="156"/>
      <c r="AU49" s="156"/>
      <c r="AV49" s="156"/>
      <c r="AW49" s="157"/>
      <c r="AX49" s="157"/>
      <c r="AY49" s="157"/>
      <c r="AZ49" s="157"/>
      <c r="BA49" s="157"/>
      <c r="BB49" s="157"/>
      <c r="BC49" s="157"/>
      <c r="BD49" s="157"/>
      <c r="BE49" s="157"/>
      <c r="BF49" s="158"/>
      <c r="BG49" s="158"/>
      <c r="BH49" s="158"/>
      <c r="BI49" s="158"/>
      <c r="BJ49" s="158"/>
      <c r="BK49" s="158"/>
      <c r="BL49" s="158"/>
      <c r="BM49" s="158"/>
      <c r="BN49" s="158"/>
      <c r="BO49" s="158"/>
      <c r="BP49" s="158"/>
      <c r="BQ49" s="158"/>
      <c r="BR49" s="158"/>
      <c r="BS49" s="158"/>
      <c r="BT49" s="158"/>
      <c r="BU49" s="158"/>
      <c r="BV49" s="158"/>
      <c r="BW49" s="66"/>
      <c r="BX49" s="158"/>
      <c r="BY49" s="158"/>
      <c r="BZ49" s="158"/>
      <c r="CA49" s="158"/>
      <c r="CB49" s="63"/>
      <c r="CC49" s="67"/>
      <c r="CD49" s="67"/>
      <c r="CE49" s="169"/>
      <c r="CF49" s="67"/>
      <c r="CG49" s="67"/>
      <c r="CH49" s="68"/>
      <c r="CI49" s="68"/>
      <c r="CJ49" s="68"/>
      <c r="CK49" s="68"/>
      <c r="CL49" s="68"/>
      <c r="CM49" s="73"/>
      <c r="CN49" s="73"/>
      <c r="CO49" s="73"/>
      <c r="CP49" s="73"/>
      <c r="CQ49" s="69"/>
      <c r="CR49" s="69"/>
      <c r="CS49" s="69"/>
      <c r="CT49" s="69"/>
      <c r="CU49" s="69"/>
      <c r="CV49" s="69"/>
      <c r="CW49" s="74"/>
      <c r="CX49" s="74"/>
      <c r="CY49" s="74"/>
      <c r="CZ49" s="74"/>
      <c r="DA49" s="74"/>
      <c r="DB49" s="70"/>
      <c r="DC49" s="70"/>
      <c r="DD49" s="70"/>
      <c r="DE49" s="70"/>
      <c r="DF49" s="70"/>
      <c r="DG49" s="70"/>
      <c r="DH49" s="70"/>
      <c r="DI49" s="70"/>
      <c r="DJ49" s="70"/>
      <c r="DK49" s="70"/>
      <c r="DL49" s="69"/>
      <c r="DM49" s="69"/>
      <c r="DN49" s="69"/>
      <c r="DO49" s="69"/>
      <c r="DP49" s="69"/>
      <c r="DQ49" s="69"/>
      <c r="DR49" s="69"/>
      <c r="DS49" s="77"/>
      <c r="DT49" s="77"/>
      <c r="DU49" s="71"/>
      <c r="DV49" s="71"/>
      <c r="DW49" s="166"/>
      <c r="EA49" s="77"/>
      <c r="EB49" s="71"/>
      <c r="EC49" s="195"/>
      <c r="ED49" s="363"/>
      <c r="EE49" s="71"/>
      <c r="EF49" s="363"/>
      <c r="EG49" s="71"/>
      <c r="EH49" s="363"/>
      <c r="EI49" s="71"/>
      <c r="EJ49" s="195"/>
      <c r="EK49" s="71"/>
      <c r="EL49" s="195"/>
    </row>
    <row r="50" spans="2:142" ht="16.5" thickBot="1" x14ac:dyDescent="0.3">
      <c r="B50" s="325" t="s">
        <v>168</v>
      </c>
      <c r="C50" s="326"/>
      <c r="D50" s="327"/>
      <c r="E50" s="328"/>
      <c r="F50" s="329"/>
      <c r="G50" s="330"/>
      <c r="H50" s="330"/>
      <c r="I50" s="331"/>
      <c r="J50" s="328"/>
      <c r="K50" s="332"/>
      <c r="L50" s="333"/>
      <c r="M50" s="334"/>
      <c r="N50" s="334"/>
      <c r="O50" s="334"/>
      <c r="P50" s="334"/>
      <c r="Q50" s="334"/>
      <c r="R50" s="334"/>
      <c r="S50" s="334"/>
      <c r="T50" s="334"/>
      <c r="U50" s="334"/>
      <c r="V50" s="335"/>
      <c r="W50" s="335"/>
      <c r="X50" s="335"/>
      <c r="Y50" s="335"/>
      <c r="Z50" s="335"/>
      <c r="AA50" s="335"/>
      <c r="AB50" s="335"/>
      <c r="AC50" s="335"/>
      <c r="AD50" s="335"/>
      <c r="AE50" s="336"/>
      <c r="AF50" s="336"/>
      <c r="AG50" s="336"/>
      <c r="AH50" s="336"/>
      <c r="AI50" s="336"/>
      <c r="AJ50" s="336"/>
      <c r="AK50" s="336"/>
      <c r="AL50" s="336"/>
      <c r="AM50" s="336"/>
      <c r="AN50" s="337"/>
      <c r="AO50" s="337"/>
      <c r="AP50" s="337"/>
      <c r="AQ50" s="337"/>
      <c r="AR50" s="337"/>
      <c r="AS50" s="337"/>
      <c r="AT50" s="337"/>
      <c r="AU50" s="337"/>
      <c r="AV50" s="337"/>
      <c r="AW50" s="338"/>
      <c r="AX50" s="338"/>
      <c r="AY50" s="338"/>
      <c r="AZ50" s="338"/>
      <c r="BA50" s="338"/>
      <c r="BB50" s="338"/>
      <c r="BC50" s="338"/>
      <c r="BD50" s="338"/>
      <c r="BE50" s="338"/>
      <c r="BF50" s="339"/>
      <c r="BG50" s="339"/>
      <c r="BH50" s="339"/>
      <c r="BI50" s="339"/>
      <c r="BJ50" s="339"/>
      <c r="BK50" s="339"/>
      <c r="BL50" s="339"/>
      <c r="BM50" s="339"/>
      <c r="BN50" s="339"/>
      <c r="BO50" s="339"/>
      <c r="BP50" s="339"/>
      <c r="BQ50" s="339"/>
      <c r="BR50" s="339"/>
      <c r="BS50" s="339"/>
      <c r="BT50" s="339"/>
      <c r="BU50" s="339"/>
      <c r="BV50" s="339"/>
      <c r="BW50" s="340"/>
      <c r="BX50" s="339"/>
      <c r="BY50" s="339"/>
      <c r="BZ50" s="339"/>
      <c r="CA50" s="339"/>
      <c r="CB50" s="328"/>
      <c r="CC50" s="341"/>
      <c r="CD50" s="341"/>
      <c r="CE50" s="342"/>
      <c r="CF50" s="341"/>
      <c r="CG50" s="341"/>
      <c r="CH50" s="343"/>
      <c r="CI50" s="343"/>
      <c r="CJ50" s="343"/>
      <c r="CK50" s="343"/>
      <c r="CL50" s="343"/>
      <c r="CM50" s="344"/>
      <c r="CN50" s="344"/>
      <c r="CO50" s="344"/>
      <c r="CP50" s="344"/>
      <c r="CQ50" s="345"/>
      <c r="CR50" s="345"/>
      <c r="CS50" s="345"/>
      <c r="CT50" s="345"/>
      <c r="CU50" s="345"/>
      <c r="CV50" s="345"/>
      <c r="CW50" s="346"/>
      <c r="CX50" s="346"/>
      <c r="CY50" s="346"/>
      <c r="CZ50" s="346"/>
      <c r="DA50" s="346"/>
      <c r="DB50" s="347"/>
      <c r="DC50" s="347"/>
      <c r="DD50" s="347"/>
      <c r="DE50" s="347"/>
      <c r="DF50" s="347"/>
      <c r="DG50" s="347"/>
      <c r="DH50" s="347"/>
      <c r="DI50" s="347"/>
      <c r="DJ50" s="347"/>
      <c r="DK50" s="347"/>
      <c r="DL50" s="345"/>
      <c r="DM50" s="345"/>
      <c r="DN50" s="345"/>
      <c r="DO50" s="345"/>
      <c r="DP50" s="345"/>
      <c r="DQ50" s="345"/>
      <c r="DR50" s="345"/>
      <c r="DS50" s="348"/>
      <c r="DT50" s="348"/>
      <c r="DU50" s="349"/>
      <c r="DV50" s="349"/>
      <c r="DW50" s="173"/>
      <c r="DX50" s="49"/>
      <c r="DY50" s="49"/>
      <c r="DZ50" s="49"/>
      <c r="EA50" s="348"/>
      <c r="EB50" s="349"/>
      <c r="EC50" s="350"/>
      <c r="ED50" s="368"/>
      <c r="EE50" s="349"/>
      <c r="EF50" s="368"/>
      <c r="EG50" s="349"/>
      <c r="EH50" s="368"/>
      <c r="EI50" s="349"/>
      <c r="EJ50" s="350"/>
      <c r="EK50" s="349"/>
      <c r="EL50" s="350"/>
    </row>
  </sheetData>
  <autoFilter ref="B3:EL39" xr:uid="{C33821FB-9F5F-4CD3-8020-4FECE63BFC80}">
    <sortState xmlns:xlrd2="http://schemas.microsoft.com/office/spreadsheetml/2017/richdata2" ref="B4:EL40">
      <sortCondition descending="1" ref="ED3:ED39"/>
    </sortState>
  </autoFilter>
  <conditionalFormatting sqref="BM4:BQ4">
    <cfRule type="colorScale" priority="8">
      <colorScale>
        <cfvo type="min"/>
        <cfvo type="max"/>
        <color rgb="FF63BE7B"/>
        <color rgb="FFFFEF9C"/>
      </colorScale>
    </cfRule>
  </conditionalFormatting>
  <conditionalFormatting sqref="DU4">
    <cfRule type="colorScale" priority="5">
      <colorScale>
        <cfvo type="min"/>
        <cfvo type="max"/>
        <color rgb="FFFFEF9C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U5:DU50">
    <cfRule type="colorScale" priority="13">
      <colorScale>
        <cfvo type="min"/>
        <cfvo type="max"/>
        <color rgb="FFFFEF9C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W44:DX45">
    <cfRule type="colorScale" priority="9">
      <colorScale>
        <cfvo type="num" val="0.1"/>
        <cfvo type="percentile" val="0.15"/>
        <cfvo type="num" val="0.3"/>
        <color rgb="FFF8696B"/>
        <color rgb="FFFFEB84"/>
        <color rgb="FF63BE7B"/>
      </colorScale>
    </cfRule>
  </conditionalFormatting>
  <conditionalFormatting sqref="EC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C5:EC50">
    <cfRule type="colorScale" priority="3">
      <colorScale>
        <cfvo type="min"/>
        <cfvo type="max"/>
        <color rgb="FFFFEF9C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J4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J5:EJ50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799C-18B0-4021-A5B2-75321ED9E92D}">
  <dimension ref="A1:FX19"/>
  <sheetViews>
    <sheetView showGridLines="0" zoomScale="85" zoomScaleNormal="85" zoomScaleSheetLayoutView="100" workbookViewId="0">
      <pane xSplit="4" ySplit="5" topLeftCell="E6" activePane="bottomRight" state="frozen"/>
      <selection pane="topRight" activeCell="D1" sqref="D1"/>
      <selection pane="bottomLeft" activeCell="A5" sqref="A5"/>
      <selection pane="bottomRight" activeCell="H19" sqref="A19:XFD19"/>
    </sheetView>
  </sheetViews>
  <sheetFormatPr defaultRowHeight="15" outlineLevelRow="1" outlineLevelCol="2" x14ac:dyDescent="0.25"/>
  <cols>
    <col min="1" max="1" width="4.7109375" customWidth="1"/>
    <col min="2" max="3" width="17.42578125" customWidth="1" outlineLevel="1"/>
    <col min="4" max="4" width="24.5703125" customWidth="1"/>
    <col min="5" max="5" width="4.7109375" customWidth="1"/>
    <col min="6" max="7" width="10.7109375" hidden="1" customWidth="1" outlineLevel="2"/>
    <col min="8" max="8" width="9.7109375" bestFit="1" customWidth="1" collapsed="1"/>
    <col min="9" max="9" width="8.7109375" hidden="1" customWidth="1" outlineLevel="2"/>
    <col min="10" max="10" width="9.7109375" hidden="1" customWidth="1" outlineLevel="2"/>
    <col min="11" max="11" width="9" hidden="1" customWidth="1" outlineLevel="2"/>
    <col min="12" max="13" width="8.7109375" hidden="1" customWidth="1" outlineLevel="2"/>
    <col min="14" max="14" width="11.140625" hidden="1" customWidth="1" outlineLevel="2"/>
    <col min="15" max="20" width="9.5703125" hidden="1" customWidth="1" outlineLevel="2"/>
    <col min="21" max="23" width="11.140625" hidden="1" customWidth="1" outlineLevel="2"/>
    <col min="24" max="32" width="8.7109375" hidden="1" customWidth="1" outlineLevel="2"/>
    <col min="33" max="41" width="9.5703125" hidden="1" customWidth="1" outlineLevel="2"/>
    <col min="42" max="59" width="8.7109375" hidden="1" customWidth="1" outlineLevel="2"/>
    <col min="60" max="60" width="8.7109375" hidden="1" customWidth="1" outlineLevel="2" collapsed="1"/>
    <col min="61" max="66" width="8.7109375" hidden="1" customWidth="1" outlineLevel="2"/>
    <col min="67" max="67" width="8.7109375" customWidth="1" outlineLevel="1" collapsed="1"/>
    <col min="68" max="68" width="8.7109375" customWidth="1" outlineLevel="1"/>
    <col min="69" max="76" width="8.7109375" hidden="1" customWidth="1" outlineLevel="2"/>
    <col min="77" max="77" width="8.7109375" customWidth="1" outlineLevel="1" collapsed="1"/>
    <col min="78" max="81" width="8.7109375" customWidth="1" outlineLevel="1"/>
    <col min="82" max="82" width="32.5703125" hidden="1" customWidth="1" outlineLevel="2"/>
    <col min="83" max="83" width="8.7109375" hidden="1" customWidth="1" outlineLevel="2" collapsed="1"/>
    <col min="84" max="84" width="8.7109375" hidden="1" customWidth="1" outlineLevel="2"/>
    <col min="85" max="85" width="10.42578125" customWidth="1" outlineLevel="1" collapsed="1"/>
    <col min="86" max="86" width="10.42578125" customWidth="1" outlineLevel="1"/>
    <col min="87" max="87" width="8.7109375" hidden="1" customWidth="1" outlineLevel="2"/>
    <col min="88" max="88" width="8.7109375" hidden="1" customWidth="1" outlineLevel="2" collapsed="1"/>
    <col min="89" max="92" width="8.7109375" hidden="1" customWidth="1" outlineLevel="2"/>
    <col min="93" max="96" width="10.28515625" hidden="1" customWidth="1" outlineLevel="2"/>
    <col min="97" max="97" width="9.5703125" hidden="1" customWidth="1" outlineLevel="2"/>
    <col min="98" max="124" width="8.7109375" hidden="1" customWidth="1" outlineLevel="2"/>
    <col min="125" max="125" width="8.7109375" customWidth="1" outlineLevel="1" collapsed="1"/>
    <col min="126" max="132" width="8.7109375" customWidth="1" outlineLevel="1"/>
    <col min="133" max="133" width="10.140625" customWidth="1" outlineLevel="1" collapsed="1"/>
    <col min="134" max="135" width="10.140625" customWidth="1" outlineLevel="1"/>
    <col min="136" max="144" width="10.140625" customWidth="1"/>
    <col min="145" max="145" width="15.28515625" bestFit="1" customWidth="1"/>
    <col min="146" max="146" width="56.140625" customWidth="1"/>
  </cols>
  <sheetData>
    <row r="1" spans="1:156" x14ac:dyDescent="0.25">
      <c r="D1" t="s">
        <v>27</v>
      </c>
      <c r="F1" s="14">
        <f ca="1">TODAY()</f>
        <v>46183</v>
      </c>
      <c r="CN1" s="1">
        <f ca="1">TODAY()</f>
        <v>46183</v>
      </c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>
        <v>46387</v>
      </c>
      <c r="DV1" s="1">
        <f>DU1+365</f>
        <v>46752</v>
      </c>
      <c r="DW1" s="1">
        <f t="shared" ref="DW1:DX1" si="0">DV1+365</f>
        <v>47117</v>
      </c>
      <c r="DX1" s="1">
        <f t="shared" si="0"/>
        <v>47482</v>
      </c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</row>
    <row r="2" spans="1:156" x14ac:dyDescent="0.25">
      <c r="DU2" s="28">
        <f ca="1">(DU1-$F$1)/365</f>
        <v>0.55890410958904113</v>
      </c>
      <c r="DV2" s="28">
        <f ca="1">(DV1-$F$1)/365</f>
        <v>1.558904109589041</v>
      </c>
      <c r="DW2" s="28">
        <f ca="1">(DW1-$F$1)/365</f>
        <v>2.558904109589041</v>
      </c>
      <c r="DX2" s="28">
        <f ca="1">(DX1-$F$1)/365</f>
        <v>3.558904109589041</v>
      </c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</row>
    <row r="3" spans="1:156" ht="15.75" thickBot="1" x14ac:dyDescent="0.3">
      <c r="DE3" s="197"/>
      <c r="DF3" s="197"/>
      <c r="DG3" s="197"/>
      <c r="DH3" s="197"/>
      <c r="DU3" s="141"/>
      <c r="DV3" s="141"/>
      <c r="DW3" s="141"/>
      <c r="DX3" s="141"/>
      <c r="EC3" s="141"/>
      <c r="ED3" s="141"/>
      <c r="EE3" s="141"/>
      <c r="EF3" s="141"/>
      <c r="EG3" s="141"/>
      <c r="EH3" s="141"/>
      <c r="EI3" s="141"/>
      <c r="EJ3" s="141"/>
      <c r="EK3" s="141"/>
      <c r="EL3" s="141"/>
      <c r="EM3" s="141"/>
      <c r="EN3" s="141"/>
    </row>
    <row r="4" spans="1:156" ht="17.25" x14ac:dyDescent="0.4">
      <c r="D4" s="248">
        <f ca="1">TODAY()</f>
        <v>46183</v>
      </c>
      <c r="E4" s="288"/>
      <c r="F4" s="29"/>
      <c r="G4" s="29"/>
      <c r="H4" s="29"/>
      <c r="I4" s="29"/>
      <c r="J4" s="29"/>
      <c r="K4" s="29"/>
      <c r="L4" s="29"/>
      <c r="M4" s="29"/>
      <c r="N4" s="29"/>
      <c r="O4" s="30" t="s">
        <v>0</v>
      </c>
      <c r="P4" s="30"/>
      <c r="Q4" s="30"/>
      <c r="R4" s="30"/>
      <c r="S4" s="30"/>
      <c r="T4" s="30"/>
      <c r="U4" s="30"/>
      <c r="V4" s="30"/>
      <c r="W4" s="177"/>
      <c r="X4" s="30" t="s">
        <v>1</v>
      </c>
      <c r="Y4" s="30"/>
      <c r="Z4" s="30"/>
      <c r="AA4" s="30"/>
      <c r="AB4" s="30"/>
      <c r="AC4" s="30"/>
      <c r="AD4" s="30"/>
      <c r="AE4" s="30"/>
      <c r="AF4" s="177"/>
      <c r="AG4" s="30" t="s">
        <v>2</v>
      </c>
      <c r="AH4" s="30"/>
      <c r="AI4" s="30"/>
      <c r="AJ4" s="30"/>
      <c r="AK4" s="30"/>
      <c r="AL4" s="30"/>
      <c r="AM4" s="30"/>
      <c r="AN4" s="30"/>
      <c r="AO4" s="177"/>
      <c r="AP4" s="30" t="s">
        <v>31</v>
      </c>
      <c r="AQ4" s="30"/>
      <c r="AR4" s="30"/>
      <c r="AS4" s="30"/>
      <c r="AT4" s="30"/>
      <c r="AU4" s="30"/>
      <c r="AV4" s="30"/>
      <c r="AW4" s="30"/>
      <c r="AX4" s="179"/>
      <c r="AY4" s="30" t="s">
        <v>55</v>
      </c>
      <c r="AZ4" s="30"/>
      <c r="BA4" s="30"/>
      <c r="BB4" s="30"/>
      <c r="BC4" s="30"/>
      <c r="BD4" s="30"/>
      <c r="BE4" s="30"/>
      <c r="BF4" s="30"/>
      <c r="BG4" s="31"/>
      <c r="BH4" s="32" t="s">
        <v>3</v>
      </c>
      <c r="BI4" s="31"/>
      <c r="BJ4" s="31"/>
      <c r="BK4" s="31"/>
      <c r="BL4" s="30"/>
      <c r="BM4" s="30"/>
      <c r="BN4" s="31"/>
      <c r="BO4" s="32" t="s">
        <v>4</v>
      </c>
      <c r="BP4" s="31"/>
      <c r="BQ4" s="31"/>
      <c r="BR4" s="31"/>
      <c r="BS4" s="31"/>
      <c r="BT4" s="32" t="s">
        <v>5</v>
      </c>
      <c r="BU4" s="31"/>
      <c r="BV4" s="31"/>
      <c r="BW4" s="31"/>
      <c r="BX4" s="31"/>
      <c r="BY4" s="33" t="s">
        <v>45</v>
      </c>
      <c r="BZ4" s="31"/>
      <c r="CA4" s="31"/>
      <c r="CB4" s="31"/>
      <c r="CC4" s="31"/>
      <c r="CD4" s="34" t="s">
        <v>67</v>
      </c>
      <c r="CE4" s="34" t="s">
        <v>67</v>
      </c>
      <c r="CF4" s="35"/>
      <c r="CG4" s="36" t="s">
        <v>136</v>
      </c>
      <c r="CH4" s="35"/>
      <c r="CI4" s="35"/>
      <c r="CJ4" s="44" t="s">
        <v>65</v>
      </c>
      <c r="CK4" s="45"/>
      <c r="CL4" s="45"/>
      <c r="CM4" s="45"/>
      <c r="CN4" s="45"/>
      <c r="CO4" s="34" t="s">
        <v>66</v>
      </c>
      <c r="CP4" s="35"/>
      <c r="CQ4" s="35"/>
      <c r="CR4" s="35"/>
      <c r="CS4" s="35"/>
      <c r="CT4" s="34" t="s">
        <v>57</v>
      </c>
      <c r="CU4" s="35"/>
      <c r="CV4" s="35"/>
      <c r="CW4" s="35"/>
      <c r="CX4" s="35"/>
      <c r="CY4" s="34" t="s">
        <v>12</v>
      </c>
      <c r="CZ4" s="35"/>
      <c r="DA4" s="35"/>
      <c r="DB4" s="35"/>
      <c r="DC4" s="35"/>
      <c r="DD4" s="34" t="s">
        <v>60</v>
      </c>
      <c r="DE4" s="35"/>
      <c r="DF4" s="35"/>
      <c r="DG4" s="35"/>
      <c r="DH4" s="35"/>
      <c r="DI4" s="34" t="s">
        <v>11</v>
      </c>
      <c r="DJ4" s="35"/>
      <c r="DK4" s="35"/>
      <c r="DL4" s="35"/>
      <c r="DM4" s="35"/>
      <c r="DN4" s="35"/>
      <c r="DO4" s="35"/>
      <c r="DP4" s="34" t="s">
        <v>56</v>
      </c>
      <c r="DQ4" s="35"/>
      <c r="DR4" s="35"/>
      <c r="DS4" s="35"/>
      <c r="DT4" s="35"/>
      <c r="DU4" s="36" t="s">
        <v>29</v>
      </c>
      <c r="DV4" s="35"/>
      <c r="DW4" s="34"/>
      <c r="DX4" s="35"/>
      <c r="DY4" s="36" t="s">
        <v>131</v>
      </c>
      <c r="DZ4" s="35"/>
      <c r="EA4" s="35"/>
      <c r="EB4" s="35"/>
      <c r="EC4" s="36" t="s">
        <v>135</v>
      </c>
      <c r="ED4" s="35"/>
      <c r="EE4" s="35"/>
      <c r="EF4" s="36" t="s">
        <v>142</v>
      </c>
      <c r="EG4" s="35"/>
      <c r="EH4" s="35"/>
      <c r="EI4" s="35"/>
      <c r="EJ4" s="35"/>
      <c r="EK4" s="35"/>
      <c r="EL4" s="191"/>
      <c r="EM4" s="190" t="s">
        <v>99</v>
      </c>
      <c r="EN4" s="216"/>
      <c r="EO4" s="139" t="s">
        <v>35</v>
      </c>
    </row>
    <row r="5" spans="1:156" ht="17.25" x14ac:dyDescent="0.4">
      <c r="D5" s="37" t="s">
        <v>6</v>
      </c>
      <c r="E5" s="217" t="s">
        <v>211</v>
      </c>
      <c r="F5" s="16" t="s">
        <v>30</v>
      </c>
      <c r="G5" s="16" t="s">
        <v>32</v>
      </c>
      <c r="H5" s="16" t="s">
        <v>7</v>
      </c>
      <c r="I5" s="16" t="s">
        <v>8</v>
      </c>
      <c r="J5" s="16" t="s">
        <v>9</v>
      </c>
      <c r="K5" s="16" t="s">
        <v>10</v>
      </c>
      <c r="L5" s="16" t="s">
        <v>36</v>
      </c>
      <c r="M5" s="16" t="s">
        <v>11</v>
      </c>
      <c r="N5" s="16" t="s">
        <v>12</v>
      </c>
      <c r="O5" s="217">
        <v>2022</v>
      </c>
      <c r="P5" s="217">
        <f>O5+1</f>
        <v>2023</v>
      </c>
      <c r="Q5" s="217">
        <f>P5+1</f>
        <v>2024</v>
      </c>
      <c r="R5" s="217">
        <f>Q5+1</f>
        <v>2025</v>
      </c>
      <c r="S5" s="217">
        <f>R5+1</f>
        <v>2026</v>
      </c>
      <c r="T5" s="217">
        <v>2027</v>
      </c>
      <c r="U5" s="217">
        <v>2028</v>
      </c>
      <c r="V5" s="217">
        <v>2029</v>
      </c>
      <c r="W5" s="178">
        <v>2030</v>
      </c>
      <c r="X5" s="217">
        <v>2022</v>
      </c>
      <c r="Y5" s="217">
        <f>X5+1</f>
        <v>2023</v>
      </c>
      <c r="Z5" s="217">
        <f>Y5+1</f>
        <v>2024</v>
      </c>
      <c r="AA5" s="217">
        <f>Z5+1</f>
        <v>2025</v>
      </c>
      <c r="AB5" s="217">
        <f>AA5+1</f>
        <v>2026</v>
      </c>
      <c r="AC5" s="217">
        <v>2027</v>
      </c>
      <c r="AD5" s="217">
        <v>2028</v>
      </c>
      <c r="AE5" s="217">
        <v>2029</v>
      </c>
      <c r="AF5" s="178">
        <v>2030</v>
      </c>
      <c r="AG5" s="217">
        <v>2022</v>
      </c>
      <c r="AH5" s="217">
        <f>AG5+1</f>
        <v>2023</v>
      </c>
      <c r="AI5" s="217">
        <f>AH5+1</f>
        <v>2024</v>
      </c>
      <c r="AJ5" s="217">
        <f>AI5+1</f>
        <v>2025</v>
      </c>
      <c r="AK5" s="217">
        <f>AJ5+1</f>
        <v>2026</v>
      </c>
      <c r="AL5" s="217">
        <v>2027</v>
      </c>
      <c r="AM5" s="217">
        <v>2028</v>
      </c>
      <c r="AN5" s="217">
        <v>2029</v>
      </c>
      <c r="AO5" s="178">
        <v>2030</v>
      </c>
      <c r="AP5" s="217">
        <v>2022</v>
      </c>
      <c r="AQ5" s="217">
        <f>AP5+1</f>
        <v>2023</v>
      </c>
      <c r="AR5" s="217">
        <f>AQ5+1</f>
        <v>2024</v>
      </c>
      <c r="AS5" s="217">
        <f>AR5+1</f>
        <v>2025</v>
      </c>
      <c r="AT5" s="217">
        <f>AS5+1</f>
        <v>2026</v>
      </c>
      <c r="AU5" s="217">
        <v>2027</v>
      </c>
      <c r="AV5" s="217">
        <v>2028</v>
      </c>
      <c r="AW5" s="217">
        <v>2029</v>
      </c>
      <c r="AX5" s="178">
        <v>2030</v>
      </c>
      <c r="AY5" s="217">
        <v>2022</v>
      </c>
      <c r="AZ5" s="217">
        <f>AY5+1</f>
        <v>2023</v>
      </c>
      <c r="BA5" s="217">
        <f>AZ5+1</f>
        <v>2024</v>
      </c>
      <c r="BB5" s="217">
        <f>BA5+1</f>
        <v>2025</v>
      </c>
      <c r="BC5" s="217">
        <f>BB5+1</f>
        <v>2026</v>
      </c>
      <c r="BD5" s="217">
        <v>2027</v>
      </c>
      <c r="BE5" s="217">
        <v>2028</v>
      </c>
      <c r="BF5" s="217">
        <v>2029</v>
      </c>
      <c r="BG5" s="217">
        <v>2030</v>
      </c>
      <c r="BH5" s="218" t="s">
        <v>13</v>
      </c>
      <c r="BI5" s="218" t="s">
        <v>14</v>
      </c>
      <c r="BJ5" s="218" t="s">
        <v>15</v>
      </c>
      <c r="BK5" s="218" t="s">
        <v>16</v>
      </c>
      <c r="BL5" s="218" t="s">
        <v>28</v>
      </c>
      <c r="BM5" s="219">
        <f>BL5+1</f>
        <v>2029</v>
      </c>
      <c r="BN5" s="219">
        <f>BM5+1</f>
        <v>2030</v>
      </c>
      <c r="BO5" s="201" t="s">
        <v>15</v>
      </c>
      <c r="BP5" s="201" t="s">
        <v>16</v>
      </c>
      <c r="BQ5" s="201" t="s">
        <v>28</v>
      </c>
      <c r="BR5" s="201" t="s">
        <v>47</v>
      </c>
      <c r="BS5" s="201" t="s">
        <v>48</v>
      </c>
      <c r="BT5" s="201" t="s">
        <v>15</v>
      </c>
      <c r="BU5" s="201" t="s">
        <v>16</v>
      </c>
      <c r="BV5" s="201" t="s">
        <v>28</v>
      </c>
      <c r="BW5" s="201" t="s">
        <v>47</v>
      </c>
      <c r="BX5" s="201" t="s">
        <v>48</v>
      </c>
      <c r="BY5" s="17" t="s">
        <v>15</v>
      </c>
      <c r="BZ5" s="201" t="s">
        <v>16</v>
      </c>
      <c r="CA5" s="201" t="s">
        <v>28</v>
      </c>
      <c r="CB5" s="201" t="s">
        <v>47</v>
      </c>
      <c r="CC5" s="201" t="s">
        <v>48</v>
      </c>
      <c r="CD5" s="220" t="s">
        <v>61</v>
      </c>
      <c r="CE5" s="201" t="s">
        <v>15</v>
      </c>
      <c r="CF5" s="201" t="s">
        <v>16</v>
      </c>
      <c r="CG5" s="17" t="s">
        <v>28</v>
      </c>
      <c r="CH5" s="201" t="s">
        <v>47</v>
      </c>
      <c r="CI5" s="201" t="s">
        <v>48</v>
      </c>
      <c r="CJ5" s="221" t="s">
        <v>15</v>
      </c>
      <c r="CK5" s="221" t="s">
        <v>16</v>
      </c>
      <c r="CL5" s="221" t="s">
        <v>28</v>
      </c>
      <c r="CM5" s="221" t="s">
        <v>47</v>
      </c>
      <c r="CN5" s="221" t="s">
        <v>48</v>
      </c>
      <c r="CO5" s="201" t="s">
        <v>15</v>
      </c>
      <c r="CP5" s="201" t="s">
        <v>16</v>
      </c>
      <c r="CQ5" s="201" t="s">
        <v>28</v>
      </c>
      <c r="CR5" s="201" t="s">
        <v>47</v>
      </c>
      <c r="CS5" s="201" t="s">
        <v>48</v>
      </c>
      <c r="CT5" s="201" t="s">
        <v>15</v>
      </c>
      <c r="CU5" s="201" t="s">
        <v>16</v>
      </c>
      <c r="CV5" s="201" t="s">
        <v>28</v>
      </c>
      <c r="CW5" s="201" t="s">
        <v>47</v>
      </c>
      <c r="CX5" s="201" t="s">
        <v>48</v>
      </c>
      <c r="CY5" s="201" t="s">
        <v>15</v>
      </c>
      <c r="CZ5" s="201" t="s">
        <v>16</v>
      </c>
      <c r="DA5" s="201" t="s">
        <v>28</v>
      </c>
      <c r="DB5" s="201" t="s">
        <v>47</v>
      </c>
      <c r="DC5" s="201" t="s">
        <v>48</v>
      </c>
      <c r="DD5" s="201" t="s">
        <v>15</v>
      </c>
      <c r="DE5" s="201" t="s">
        <v>16</v>
      </c>
      <c r="DF5" s="201" t="s">
        <v>28</v>
      </c>
      <c r="DG5" s="201" t="s">
        <v>47</v>
      </c>
      <c r="DH5" s="201" t="s">
        <v>48</v>
      </c>
      <c r="DI5" s="201" t="s">
        <v>15</v>
      </c>
      <c r="DJ5" s="201" t="s">
        <v>16</v>
      </c>
      <c r="DK5" s="201" t="s">
        <v>28</v>
      </c>
      <c r="DL5" s="201" t="s">
        <v>47</v>
      </c>
      <c r="DM5" s="201" t="s">
        <v>48</v>
      </c>
      <c r="DN5" s="201"/>
      <c r="DO5" s="201"/>
      <c r="DP5" s="201" t="s">
        <v>15</v>
      </c>
      <c r="DQ5" s="201" t="s">
        <v>16</v>
      </c>
      <c r="DR5" s="201" t="s">
        <v>28</v>
      </c>
      <c r="DS5" s="201" t="s">
        <v>47</v>
      </c>
      <c r="DT5" s="201" t="s">
        <v>48</v>
      </c>
      <c r="DU5" s="17" t="s">
        <v>15</v>
      </c>
      <c r="DV5" s="201" t="s">
        <v>16</v>
      </c>
      <c r="DW5" s="201" t="s">
        <v>28</v>
      </c>
      <c r="DX5" s="201" t="s">
        <v>47</v>
      </c>
      <c r="DY5" s="17" t="s">
        <v>15</v>
      </c>
      <c r="DZ5" s="201" t="s">
        <v>16</v>
      </c>
      <c r="EA5" s="201" t="s">
        <v>28</v>
      </c>
      <c r="EB5" s="201" t="s">
        <v>47</v>
      </c>
      <c r="EC5" s="17" t="s">
        <v>71</v>
      </c>
      <c r="ED5" s="201" t="s">
        <v>72</v>
      </c>
      <c r="EE5" s="201" t="s">
        <v>73</v>
      </c>
      <c r="EF5" s="174" t="s">
        <v>0</v>
      </c>
      <c r="EG5" s="222" t="s">
        <v>141</v>
      </c>
      <c r="EH5" s="222" t="s">
        <v>143</v>
      </c>
      <c r="EI5" s="222" t="s">
        <v>144</v>
      </c>
      <c r="EJ5" s="222" t="s">
        <v>145</v>
      </c>
      <c r="EK5" s="222" t="s">
        <v>146</v>
      </c>
      <c r="EL5" s="192" t="s">
        <v>147</v>
      </c>
      <c r="EM5" s="201" t="s">
        <v>64</v>
      </c>
      <c r="EN5" s="193" t="s">
        <v>100</v>
      </c>
      <c r="EO5" s="160" t="s">
        <v>34</v>
      </c>
      <c r="EP5" s="16" t="s">
        <v>33</v>
      </c>
      <c r="ES5" s="16"/>
      <c r="ET5" s="16"/>
      <c r="EU5" s="16"/>
    </row>
    <row r="6" spans="1:156" outlineLevel="1" collapsed="1" x14ac:dyDescent="0.25">
      <c r="B6" s="10"/>
      <c r="C6" s="10"/>
      <c r="D6" t="s">
        <v>39</v>
      </c>
      <c r="F6" s="143"/>
      <c r="G6" s="147"/>
      <c r="H6" s="149"/>
      <c r="I6" s="39"/>
      <c r="J6" s="25"/>
      <c r="K6" s="2"/>
      <c r="L6" s="2"/>
      <c r="M6" s="76"/>
      <c r="N6" s="76"/>
      <c r="O6" s="3"/>
      <c r="P6" s="3"/>
      <c r="Q6" s="3"/>
      <c r="R6" s="3"/>
      <c r="S6" s="3"/>
      <c r="T6" s="3"/>
      <c r="U6" s="3"/>
      <c r="V6" s="3"/>
      <c r="W6" s="3"/>
      <c r="X6" s="4"/>
      <c r="Y6" s="4"/>
      <c r="Z6" s="4"/>
      <c r="AA6" s="4"/>
      <c r="AB6" s="4"/>
      <c r="AC6" s="4"/>
      <c r="AD6" s="4"/>
      <c r="AE6" s="4"/>
      <c r="AF6" s="4"/>
      <c r="AG6" s="146"/>
      <c r="AH6" s="146"/>
      <c r="AI6" s="146"/>
      <c r="AJ6" s="146"/>
      <c r="AK6" s="146"/>
      <c r="AL6" s="146"/>
      <c r="AM6" s="146"/>
      <c r="AN6" s="146"/>
      <c r="AO6" s="146"/>
      <c r="AP6" s="148"/>
      <c r="AQ6" s="148"/>
      <c r="AR6" s="148"/>
      <c r="AS6" s="148"/>
      <c r="AT6" s="148"/>
      <c r="AU6" s="148"/>
      <c r="AV6" s="148"/>
      <c r="AW6" s="11"/>
      <c r="AX6" s="11"/>
      <c r="AY6" s="148"/>
      <c r="AZ6" s="148"/>
      <c r="BA6" s="148"/>
      <c r="BB6" s="148"/>
      <c r="BC6" s="148"/>
      <c r="BD6" s="148"/>
      <c r="BE6" s="148"/>
      <c r="BF6" s="11"/>
      <c r="BG6" s="11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E6" s="12"/>
      <c r="CF6" s="12"/>
      <c r="CG6" s="12"/>
      <c r="CH6" s="12"/>
      <c r="CI6" s="12"/>
      <c r="CJ6" s="46"/>
      <c r="CK6" s="46"/>
      <c r="CL6" s="46"/>
      <c r="CM6" s="46"/>
      <c r="CN6" s="46"/>
      <c r="CO6" s="43"/>
      <c r="CP6" s="43"/>
      <c r="CQ6" s="43"/>
      <c r="CR6" s="43"/>
      <c r="CS6" s="7"/>
      <c r="CT6" s="7"/>
      <c r="CU6" s="7"/>
      <c r="CV6" s="7"/>
      <c r="CW6" s="7"/>
      <c r="CX6" s="7"/>
      <c r="CY6" s="101"/>
      <c r="CZ6" s="101"/>
      <c r="DA6" s="101"/>
      <c r="DB6" s="101"/>
      <c r="DC6" s="101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7"/>
      <c r="DO6" s="7"/>
      <c r="DP6" s="7"/>
      <c r="DQ6" s="7"/>
      <c r="DR6" s="7"/>
      <c r="DS6" s="7"/>
      <c r="DT6" s="7"/>
      <c r="DU6" s="6"/>
      <c r="DV6" s="6"/>
      <c r="DW6" s="6"/>
      <c r="DX6" s="6"/>
      <c r="DY6" s="132"/>
      <c r="DZ6" s="132"/>
      <c r="EA6" s="132"/>
      <c r="EB6" s="132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292"/>
    </row>
    <row r="7" spans="1:156" outlineLevel="1" x14ac:dyDescent="0.25">
      <c r="B7" s="10"/>
      <c r="C7" s="10"/>
      <c r="D7" t="s">
        <v>166</v>
      </c>
      <c r="F7" s="151"/>
      <c r="G7" s="63"/>
      <c r="H7" s="152"/>
      <c r="I7" s="64"/>
      <c r="J7" s="64"/>
      <c r="K7" s="86"/>
      <c r="L7" s="63"/>
      <c r="M7" s="72"/>
      <c r="N7" s="153"/>
      <c r="O7" s="154"/>
      <c r="P7" s="154"/>
      <c r="Q7" s="154"/>
      <c r="R7" s="154"/>
      <c r="S7" s="154"/>
      <c r="T7" s="154"/>
      <c r="U7" s="154"/>
      <c r="V7" s="154"/>
      <c r="W7" s="154"/>
      <c r="X7" s="65"/>
      <c r="Y7" s="65"/>
      <c r="Z7" s="65"/>
      <c r="AA7" s="65"/>
      <c r="AB7" s="65"/>
      <c r="AC7" s="65"/>
      <c r="AD7" s="65"/>
      <c r="AE7" s="65"/>
      <c r="AF7" s="65"/>
      <c r="AG7" s="155"/>
      <c r="AH7" s="155"/>
      <c r="AI7" s="155"/>
      <c r="AJ7" s="155"/>
      <c r="AK7" s="155"/>
      <c r="AL7" s="155"/>
      <c r="AM7" s="155"/>
      <c r="AN7" s="155"/>
      <c r="AO7" s="155"/>
      <c r="AP7" s="156"/>
      <c r="AQ7" s="156"/>
      <c r="AR7" s="156"/>
      <c r="AS7" s="156"/>
      <c r="AT7" s="156"/>
      <c r="AU7" s="156"/>
      <c r="AV7" s="156"/>
      <c r="AW7" s="156"/>
      <c r="AX7" s="156"/>
      <c r="AY7" s="157"/>
      <c r="AZ7" s="157"/>
      <c r="BA7" s="157"/>
      <c r="BB7" s="157"/>
      <c r="BC7" s="157"/>
      <c r="BD7" s="157"/>
      <c r="BE7" s="157"/>
      <c r="BF7" s="157"/>
      <c r="BG7" s="157"/>
      <c r="BH7" s="158"/>
      <c r="BI7" s="158"/>
      <c r="BJ7" s="158"/>
      <c r="BK7" s="158"/>
      <c r="BL7" s="158"/>
      <c r="BM7" s="158"/>
      <c r="BN7" s="158"/>
      <c r="BO7" s="158"/>
      <c r="BP7" s="158"/>
      <c r="BQ7" s="158"/>
      <c r="BR7" s="158"/>
      <c r="BS7" s="158"/>
      <c r="BT7" s="158"/>
      <c r="BU7" s="158"/>
      <c r="BV7" s="158"/>
      <c r="BW7" s="158"/>
      <c r="BX7" s="158"/>
      <c r="BY7" s="158"/>
      <c r="BZ7" s="158"/>
      <c r="CA7" s="158"/>
      <c r="CB7" s="158"/>
      <c r="CC7" s="158"/>
      <c r="CD7" s="63"/>
      <c r="CE7" s="67"/>
      <c r="CF7" s="67"/>
      <c r="CG7" s="67"/>
      <c r="CH7" s="67"/>
      <c r="CI7" s="67"/>
      <c r="CJ7" s="68"/>
      <c r="CK7" s="68"/>
      <c r="CL7" s="68"/>
      <c r="CM7" s="68"/>
      <c r="CN7" s="68"/>
      <c r="CO7" s="73"/>
      <c r="CP7" s="73"/>
      <c r="CQ7" s="73"/>
      <c r="CR7" s="73"/>
      <c r="CS7" s="69"/>
      <c r="CT7" s="69"/>
      <c r="CU7" s="69"/>
      <c r="CV7" s="69"/>
      <c r="CW7" s="69"/>
      <c r="CX7" s="69"/>
      <c r="CY7" s="74"/>
      <c r="CZ7" s="74"/>
      <c r="DA7" s="74"/>
      <c r="DB7" s="74"/>
      <c r="DC7" s="74"/>
      <c r="DD7" s="70"/>
      <c r="DE7" s="70"/>
      <c r="DF7" s="70"/>
      <c r="DG7" s="70"/>
      <c r="DH7" s="70"/>
      <c r="DI7" s="70"/>
      <c r="DJ7" s="70"/>
      <c r="DK7" s="70"/>
      <c r="DL7" s="70"/>
      <c r="DM7" s="70"/>
      <c r="DN7" s="69"/>
      <c r="DO7" s="69"/>
      <c r="DP7" s="69"/>
      <c r="DQ7" s="69"/>
      <c r="DR7" s="69"/>
      <c r="DS7" s="69"/>
      <c r="DT7" s="69"/>
      <c r="DU7" s="71"/>
      <c r="DV7" s="71"/>
      <c r="DW7" s="71"/>
      <c r="DX7" s="71"/>
      <c r="EC7" s="71"/>
      <c r="ED7" s="71"/>
      <c r="EE7" s="71"/>
      <c r="EF7" s="71"/>
      <c r="EG7" s="71"/>
      <c r="EH7" s="71"/>
      <c r="EI7" s="71"/>
      <c r="EJ7" s="71"/>
      <c r="EK7" s="71"/>
      <c r="EL7" s="71"/>
      <c r="EM7" s="71"/>
      <c r="EN7" s="71"/>
      <c r="EO7" s="292"/>
    </row>
    <row r="8" spans="1:156" outlineLevel="1" x14ac:dyDescent="0.25">
      <c r="D8" t="s">
        <v>162</v>
      </c>
      <c r="M8" s="24"/>
      <c r="N8" s="24"/>
      <c r="O8" s="3"/>
      <c r="P8" s="3"/>
      <c r="Q8" s="3"/>
      <c r="R8" s="3"/>
      <c r="S8" s="3"/>
      <c r="T8" s="3"/>
      <c r="U8" s="3"/>
      <c r="V8" s="3"/>
      <c r="W8" s="3"/>
      <c r="X8" s="4"/>
      <c r="Y8" s="4"/>
      <c r="Z8" s="4"/>
      <c r="AA8" s="4"/>
      <c r="AB8" s="4"/>
      <c r="AC8" s="4"/>
      <c r="AD8" s="4"/>
      <c r="AE8" s="4"/>
      <c r="AF8" s="4"/>
      <c r="AG8" s="3"/>
      <c r="AH8" s="3"/>
      <c r="AI8" s="3"/>
      <c r="AJ8" s="3"/>
      <c r="AK8" s="3"/>
      <c r="AL8" s="3"/>
      <c r="AM8" s="3"/>
      <c r="AN8" s="3"/>
      <c r="AO8" s="3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8"/>
      <c r="BC8" s="18"/>
      <c r="BD8" s="18"/>
      <c r="BE8" s="18"/>
      <c r="BF8" s="18"/>
      <c r="BG8" s="18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12"/>
      <c r="CE8" s="12"/>
      <c r="CF8" s="12"/>
      <c r="CG8" s="12"/>
      <c r="CH8" s="12"/>
      <c r="CI8" s="12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6"/>
      <c r="DV8" s="6"/>
      <c r="DW8" s="6"/>
      <c r="DX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292"/>
    </row>
    <row r="9" spans="1:156" outlineLevel="1" x14ac:dyDescent="0.25">
      <c r="B9" s="10" t="s">
        <v>80</v>
      </c>
      <c r="C9" s="10"/>
      <c r="D9" t="s">
        <v>81</v>
      </c>
      <c r="F9" s="143">
        <v>45688</v>
      </c>
      <c r="H9" s="149">
        <f>_xll.BDP(B9,"Px_Last")</f>
        <v>334.55</v>
      </c>
      <c r="I9" s="59">
        <v>107.8</v>
      </c>
      <c r="J9" s="59">
        <v>-297.39999999999998</v>
      </c>
      <c r="K9" s="60">
        <v>9301</v>
      </c>
      <c r="M9" s="23">
        <f t="shared" ref="M9" si="1">K9+J9</f>
        <v>9003.6</v>
      </c>
      <c r="N9" s="24">
        <f t="shared" ref="N9" si="2">I9*H9+M9+L9</f>
        <v>45068.09</v>
      </c>
      <c r="O9" s="3">
        <v>5371.8</v>
      </c>
      <c r="P9" s="3">
        <v>6177.8</v>
      </c>
      <c r="Q9" s="3">
        <v>7039.2</v>
      </c>
      <c r="R9" s="3">
        <v>7902.4999999999991</v>
      </c>
      <c r="S9" s="3">
        <v>8483.1854999999996</v>
      </c>
      <c r="T9" s="3">
        <v>8949.7607024999979</v>
      </c>
      <c r="U9" s="3">
        <v>9441.997541137498</v>
      </c>
      <c r="V9" s="3">
        <v>9961.3074059000592</v>
      </c>
      <c r="W9" s="3">
        <v>10509.179313224562</v>
      </c>
      <c r="X9" s="21">
        <v>0.8</v>
      </c>
      <c r="Y9" s="21">
        <v>0.8</v>
      </c>
      <c r="Z9" s="21">
        <v>0.8</v>
      </c>
      <c r="AA9" s="21">
        <v>0.8</v>
      </c>
      <c r="AB9" s="21">
        <v>0.8</v>
      </c>
      <c r="AC9" s="21">
        <v>0.8</v>
      </c>
      <c r="AD9" s="21">
        <v>0.8</v>
      </c>
      <c r="AE9" s="21">
        <v>0.8</v>
      </c>
      <c r="AF9" s="21">
        <v>0.8</v>
      </c>
      <c r="AG9" s="144">
        <f t="shared" ref="AG9:AO10" si="3">X9*O9</f>
        <v>4297.4400000000005</v>
      </c>
      <c r="AH9" s="144">
        <f t="shared" si="3"/>
        <v>4942.2400000000007</v>
      </c>
      <c r="AI9" s="144">
        <f t="shared" si="3"/>
        <v>5631.3600000000006</v>
      </c>
      <c r="AJ9" s="144">
        <f t="shared" si="3"/>
        <v>6322</v>
      </c>
      <c r="AK9" s="144">
        <f t="shared" si="3"/>
        <v>6786.5483999999997</v>
      </c>
      <c r="AL9" s="144">
        <f t="shared" si="3"/>
        <v>7159.8085619999983</v>
      </c>
      <c r="AM9" s="144">
        <f t="shared" si="3"/>
        <v>7553.5980329099984</v>
      </c>
      <c r="AN9" s="144">
        <f t="shared" si="3"/>
        <v>7969.0459247200479</v>
      </c>
      <c r="AO9" s="144">
        <f t="shared" si="3"/>
        <v>8407.3434505796504</v>
      </c>
      <c r="AP9" s="11">
        <v>14.28010393258427</v>
      </c>
      <c r="AQ9" s="11">
        <v>16.708374301675978</v>
      </c>
      <c r="AR9" s="11">
        <v>18.312414814814815</v>
      </c>
      <c r="AS9" s="11">
        <v>19.998102587800368</v>
      </c>
      <c r="AT9" s="11">
        <v>22.080099266148522</v>
      </c>
      <c r="AU9" s="11">
        <v>24.411298239504728</v>
      </c>
      <c r="AV9" s="11">
        <v>27.036707962892681</v>
      </c>
      <c r="AW9" s="11">
        <v>29.956134149713296</v>
      </c>
      <c r="AX9" s="11">
        <v>33.19834084530801</v>
      </c>
      <c r="AY9" s="145">
        <f t="shared" ref="AY9:BG9" si="4">AP9</f>
        <v>14.28010393258427</v>
      </c>
      <c r="AZ9" s="145">
        <f t="shared" si="4"/>
        <v>16.708374301675978</v>
      </c>
      <c r="BA9" s="145">
        <f t="shared" si="4"/>
        <v>18.312414814814815</v>
      </c>
      <c r="BB9" s="145">
        <f t="shared" si="4"/>
        <v>19.998102587800368</v>
      </c>
      <c r="BC9" s="145">
        <f t="shared" si="4"/>
        <v>22.080099266148522</v>
      </c>
      <c r="BD9" s="145">
        <f t="shared" si="4"/>
        <v>24.411298239504728</v>
      </c>
      <c r="BE9" s="145">
        <f t="shared" si="4"/>
        <v>27.036707962892681</v>
      </c>
      <c r="BF9" s="145">
        <f t="shared" si="4"/>
        <v>29.956134149713296</v>
      </c>
      <c r="BG9" s="145">
        <f t="shared" si="4"/>
        <v>33.19834084530801</v>
      </c>
      <c r="BH9" s="5">
        <f t="shared" ref="BH9:BN12" si="5">$N9/Q9</f>
        <v>6.4024448801000107</v>
      </c>
      <c r="BI9" s="5">
        <f t="shared" si="5"/>
        <v>5.7030167668459351</v>
      </c>
      <c r="BJ9" s="5">
        <f t="shared" si="5"/>
        <v>5.3126375699317192</v>
      </c>
      <c r="BK9" s="5">
        <f t="shared" si="5"/>
        <v>5.0356754217362276</v>
      </c>
      <c r="BL9" s="5">
        <f t="shared" si="5"/>
        <v>4.7731520585177512</v>
      </c>
      <c r="BM9" s="5">
        <f t="shared" si="5"/>
        <v>4.5243147474101919</v>
      </c>
      <c r="BN9" s="5">
        <f t="shared" si="5"/>
        <v>4.2884499975452055</v>
      </c>
      <c r="BO9" s="5">
        <f t="shared" ref="BO9:BS12" si="6">$N9/AK9</f>
        <v>6.6407969624146492</v>
      </c>
      <c r="BP9" s="5">
        <f t="shared" si="6"/>
        <v>6.294594277170285</v>
      </c>
      <c r="BQ9" s="5">
        <f t="shared" si="6"/>
        <v>5.9664400731471892</v>
      </c>
      <c r="BR9" s="5">
        <f t="shared" si="6"/>
        <v>5.6553934342627388</v>
      </c>
      <c r="BS9" s="5">
        <f t="shared" si="6"/>
        <v>5.3605624969315064</v>
      </c>
      <c r="BT9" s="5">
        <f>$H9/AT9</f>
        <v>15.15165289645712</v>
      </c>
      <c r="BU9" s="5">
        <f>$H9/AU9</f>
        <v>13.704719704689806</v>
      </c>
      <c r="BV9" s="5">
        <f>$H9/AV9</f>
        <v>12.373917729154115</v>
      </c>
      <c r="BW9" s="5">
        <f>$H9/AW9</f>
        <v>11.167996455350428</v>
      </c>
      <c r="BX9" s="5">
        <f>$H9/AX9</f>
        <v>10.077310837878292</v>
      </c>
      <c r="BY9" s="5">
        <f>$H9/BC9</f>
        <v>15.15165289645712</v>
      </c>
      <c r="BZ9" s="5">
        <f>$H9/BD9</f>
        <v>13.704719704689806</v>
      </c>
      <c r="CA9" s="5">
        <f>$H9/BE9</f>
        <v>12.373917729154115</v>
      </c>
      <c r="CB9" s="5">
        <f>$H9/BF9</f>
        <v>11.167996455350428</v>
      </c>
      <c r="CC9" s="5">
        <f>$H9/BG9</f>
        <v>10.077310837878292</v>
      </c>
      <c r="CE9" s="12">
        <v>22</v>
      </c>
      <c r="CF9" s="12">
        <v>22</v>
      </c>
      <c r="CG9" s="12">
        <v>22</v>
      </c>
      <c r="CH9" s="12">
        <v>22</v>
      </c>
      <c r="CI9" s="12">
        <v>22</v>
      </c>
      <c r="CJ9" s="46"/>
      <c r="CK9" s="46"/>
      <c r="CL9" s="46"/>
      <c r="CM9" s="46"/>
      <c r="CN9" s="46"/>
      <c r="CO9" s="43">
        <f t="shared" ref="CO9:CR11" si="7">CE9*BD9</f>
        <v>537.04856126910397</v>
      </c>
      <c r="CP9" s="43">
        <f t="shared" si="7"/>
        <v>594.80757518363896</v>
      </c>
      <c r="CQ9" s="43">
        <f t="shared" si="7"/>
        <v>659.03495129369253</v>
      </c>
      <c r="CR9" s="43">
        <f t="shared" si="7"/>
        <v>730.36349859677625</v>
      </c>
      <c r="CS9" s="7"/>
      <c r="CT9" s="7"/>
      <c r="CU9" s="7"/>
      <c r="CV9" s="7"/>
      <c r="CW9" s="7"/>
      <c r="CX9" s="7"/>
      <c r="CY9" s="19"/>
      <c r="CZ9" s="19"/>
      <c r="DA9" s="19"/>
      <c r="DB9" s="19"/>
      <c r="DC9" s="19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7"/>
      <c r="DO9" s="7"/>
      <c r="DP9" s="7">
        <v>3.63</v>
      </c>
      <c r="DQ9" s="7">
        <v>3.9930000000000003</v>
      </c>
      <c r="DR9" s="7">
        <v>4.3923000000000005</v>
      </c>
      <c r="DS9" s="7">
        <v>4.8315300000000008</v>
      </c>
      <c r="DT9" s="7">
        <v>4.8315300000000008</v>
      </c>
      <c r="DU9" s="6">
        <f t="shared" ref="DU9:DU12" ca="1" si="8">_xlfn.RRI(DU$2,$H9,CO9+$DP9*$DU$2)</f>
        <v>1.3480521394678759</v>
      </c>
      <c r="DV9" s="6">
        <f ca="1">_xlfn.RRI(DV$2,$H9,CP9+$DP9*$DU$2+SUM($DQ9:DQ9))</f>
        <v>0.45586495195434984</v>
      </c>
      <c r="DW9" s="6">
        <f ca="1">_xlfn.RRI(DW$2,$H9,CQ9+$DP9*$DU$2+SUM($DQ9:DR9))</f>
        <v>0.31138050140586393</v>
      </c>
      <c r="DX9" s="6">
        <f ca="1">_xlfn.RRI(DX$2,$H9,CR9+$DP9*$DU$2+SUM($DQ9:DS9))</f>
        <v>0.25255560298641844</v>
      </c>
      <c r="EC9" s="6" cm="1">
        <f t="array" ref="EC9">_xll.BDP(""&amp;$B9&amp;"","CHG_PCT_1M")/100</f>
        <v>-2.5544699999999997E-2</v>
      </c>
      <c r="ED9" s="6" cm="1">
        <f t="array" ref="ED9">_xll.BDP(""&amp;$B9&amp;"","CHG_PCT_3M")/100</f>
        <v>-8.9659859999999994E-2</v>
      </c>
      <c r="EE9" s="6" cm="1">
        <f t="array" ref="EE9">_xll.BDP(""&amp;$B9&amp;"","CHG_PCT_6M")/100</f>
        <v>-0.25108010000000003</v>
      </c>
      <c r="EF9" s="6"/>
      <c r="EG9" s="6"/>
      <c r="EH9" s="6"/>
      <c r="EI9" s="6"/>
      <c r="EJ9" s="6"/>
      <c r="EK9" s="6"/>
      <c r="EL9" s="6"/>
      <c r="EM9" s="6"/>
      <c r="EN9" s="6"/>
      <c r="EO9" s="292" cm="1">
        <f t="array" ref="EO9">_xll.BDP(B9,"AVG_DAILY_VALUE_TRADED_3M")/10^6</f>
        <v>419.41968000000003</v>
      </c>
      <c r="EP9" t="s">
        <v>83</v>
      </c>
    </row>
    <row r="10" spans="1:156" outlineLevel="1" x14ac:dyDescent="0.25">
      <c r="A10" t="s">
        <v>98</v>
      </c>
      <c r="B10" s="10" t="s">
        <v>97</v>
      </c>
      <c r="C10" s="10"/>
      <c r="D10" t="s">
        <v>96</v>
      </c>
      <c r="F10" s="143">
        <v>45689</v>
      </c>
      <c r="G10" s="147"/>
      <c r="H10" s="149">
        <f>_xll.BDP(B10,"Px_Last")/100*1.3686</f>
        <v>35.720460000000003</v>
      </c>
      <c r="I10" s="3">
        <v>914</v>
      </c>
      <c r="J10" s="25">
        <v>-363</v>
      </c>
      <c r="K10" s="3">
        <f>5625</f>
        <v>5625</v>
      </c>
      <c r="L10" s="3">
        <v>40</v>
      </c>
      <c r="M10" s="76">
        <f>K10+J10</f>
        <v>5262</v>
      </c>
      <c r="N10" s="76">
        <f>I10*H10+M10+L10</f>
        <v>37950.500440000003</v>
      </c>
      <c r="O10" s="3"/>
      <c r="P10" s="3"/>
      <c r="Q10" s="3">
        <v>7416.5</v>
      </c>
      <c r="R10" s="3">
        <v>8053.7300000000005</v>
      </c>
      <c r="S10" s="3">
        <v>8763.7427000000007</v>
      </c>
      <c r="T10" s="3">
        <v>9434.0166202500004</v>
      </c>
      <c r="U10" s="3">
        <v>10127.066996136251</v>
      </c>
      <c r="V10" s="3">
        <v>10871.180298379695</v>
      </c>
      <c r="W10" s="3">
        <v>11670.130073557522</v>
      </c>
      <c r="X10" s="21">
        <v>0.6</v>
      </c>
      <c r="Y10" s="21">
        <v>0.6</v>
      </c>
      <c r="Z10" s="21">
        <v>0.6</v>
      </c>
      <c r="AA10" s="21">
        <v>0.6</v>
      </c>
      <c r="AB10" s="21">
        <v>0.6</v>
      </c>
      <c r="AC10" s="21">
        <v>0.6</v>
      </c>
      <c r="AD10" s="21">
        <v>0.6</v>
      </c>
      <c r="AE10" s="21">
        <v>0.6</v>
      </c>
      <c r="AF10" s="21">
        <v>0.6</v>
      </c>
      <c r="AG10" s="144">
        <f t="shared" si="3"/>
        <v>0</v>
      </c>
      <c r="AH10" s="144">
        <f t="shared" si="3"/>
        <v>0</v>
      </c>
      <c r="AI10" s="144">
        <f t="shared" si="3"/>
        <v>4449.8999999999996</v>
      </c>
      <c r="AJ10" s="144">
        <f t="shared" si="3"/>
        <v>4832.2380000000003</v>
      </c>
      <c r="AK10" s="144">
        <f t="shared" si="3"/>
        <v>5258.2456200000006</v>
      </c>
      <c r="AL10" s="144">
        <f t="shared" si="3"/>
        <v>5660.4099721499997</v>
      </c>
      <c r="AM10" s="144">
        <f t="shared" si="3"/>
        <v>6076.24019768175</v>
      </c>
      <c r="AN10" s="144">
        <f t="shared" si="3"/>
        <v>6522.7081790278171</v>
      </c>
      <c r="AO10" s="144">
        <f t="shared" si="3"/>
        <v>7002.0780441345132</v>
      </c>
      <c r="AP10" s="11"/>
      <c r="AQ10" s="11"/>
      <c r="AY10" s="11"/>
      <c r="AZ10" s="11"/>
      <c r="BA10" s="11">
        <v>1.4645457011120151</v>
      </c>
      <c r="BB10" s="11">
        <v>1.6782588208983646</v>
      </c>
      <c r="BC10" s="11">
        <v>1.9290557022649555</v>
      </c>
      <c r="BD10" s="11">
        <v>2.1716001429200364</v>
      </c>
      <c r="BE10" s="11">
        <v>2.4338666389532819</v>
      </c>
      <c r="BF10" s="11">
        <v>2.7255515775491399</v>
      </c>
      <c r="BG10" s="11">
        <v>3.0498686728392133</v>
      </c>
      <c r="BH10" s="5">
        <f t="shared" si="5"/>
        <v>5.1170363972224102</v>
      </c>
      <c r="BI10" s="5">
        <f t="shared" si="5"/>
        <v>4.7121644803091236</v>
      </c>
      <c r="BJ10" s="5">
        <f t="shared" si="5"/>
        <v>4.3303987507529174</v>
      </c>
      <c r="BK10" s="5">
        <f t="shared" si="5"/>
        <v>4.0227298686902584</v>
      </c>
      <c r="BL10" s="5">
        <f t="shared" si="5"/>
        <v>3.7474325443367897</v>
      </c>
      <c r="BM10" s="5">
        <f t="shared" si="5"/>
        <v>3.4909273324862773</v>
      </c>
      <c r="BN10" s="5">
        <f t="shared" si="5"/>
        <v>3.2519346571799757</v>
      </c>
      <c r="BO10" s="5">
        <f t="shared" si="6"/>
        <v>7.217331251254862</v>
      </c>
      <c r="BP10" s="5">
        <f t="shared" si="6"/>
        <v>6.7045497811504324</v>
      </c>
      <c r="BQ10" s="5">
        <f t="shared" si="6"/>
        <v>6.2457209072279838</v>
      </c>
      <c r="BR10" s="5">
        <f t="shared" si="6"/>
        <v>5.8182122208104623</v>
      </c>
      <c r="BS10" s="5">
        <f t="shared" si="6"/>
        <v>5.4198910952999597</v>
      </c>
      <c r="BT10" s="5" t="e">
        <f t="shared" ref="BT10:BX11" si="9">$H10/AT10</f>
        <v>#DIV/0!</v>
      </c>
      <c r="BU10" s="5" t="e">
        <f t="shared" si="9"/>
        <v>#DIV/0!</v>
      </c>
      <c r="BV10" s="5" t="e">
        <f t="shared" si="9"/>
        <v>#DIV/0!</v>
      </c>
      <c r="BW10" s="5" t="e">
        <f t="shared" si="9"/>
        <v>#DIV/0!</v>
      </c>
      <c r="BX10" s="5" t="e">
        <f t="shared" si="9"/>
        <v>#DIV/0!</v>
      </c>
      <c r="BY10" s="5">
        <f t="shared" ref="BY10:CC11" si="10">$H10/BC10</f>
        <v>18.517070273325785</v>
      </c>
      <c r="BZ10" s="5">
        <f t="shared" si="10"/>
        <v>16.448912161135052</v>
      </c>
      <c r="CA10" s="5">
        <f t="shared" si="10"/>
        <v>14.676424512463051</v>
      </c>
      <c r="CB10" s="5">
        <f t="shared" si="10"/>
        <v>13.105772899047619</v>
      </c>
      <c r="CC10" s="5">
        <f t="shared" si="10"/>
        <v>11.712130531426052</v>
      </c>
      <c r="CE10" s="12">
        <v>20</v>
      </c>
      <c r="CF10" s="12">
        <v>20</v>
      </c>
      <c r="CG10" s="12">
        <v>20</v>
      </c>
      <c r="CH10" s="12">
        <v>20</v>
      </c>
      <c r="CI10" s="12"/>
      <c r="CJ10" s="46"/>
      <c r="CK10" s="46"/>
      <c r="CL10" s="46"/>
      <c r="CM10" s="46"/>
      <c r="CN10" s="46"/>
      <c r="CO10" s="43">
        <f t="shared" si="7"/>
        <v>43.432002858400729</v>
      </c>
      <c r="CP10" s="43">
        <f t="shared" si="7"/>
        <v>48.677332779065637</v>
      </c>
      <c r="CQ10" s="43">
        <f t="shared" si="7"/>
        <v>54.5110315509828</v>
      </c>
      <c r="CR10" s="43">
        <f t="shared" si="7"/>
        <v>60.997373456784267</v>
      </c>
      <c r="CS10" s="7"/>
      <c r="CT10" s="7"/>
      <c r="CU10" s="7"/>
      <c r="CV10" s="7"/>
      <c r="CW10" s="7"/>
      <c r="CX10" s="7"/>
      <c r="CY10" s="41"/>
      <c r="CZ10" s="41"/>
      <c r="DA10" s="41"/>
      <c r="DB10" s="41"/>
      <c r="DC10" s="19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7"/>
      <c r="DO10" s="7"/>
      <c r="DP10" s="7">
        <v>0.78588999999999998</v>
      </c>
      <c r="DQ10" s="7">
        <v>0.8801968</v>
      </c>
      <c r="DR10" s="7">
        <v>0.98582041600000014</v>
      </c>
      <c r="DS10" s="7">
        <v>1.1041188659200003</v>
      </c>
      <c r="DT10" s="7">
        <v>1.2366131298304004</v>
      </c>
      <c r="DU10" s="6">
        <f t="shared" ca="1" si="8"/>
        <v>0.44447663544259952</v>
      </c>
      <c r="DV10" s="6">
        <f ca="1">_xlfn.RRI(DV$2,$H10,CP10+$DP10*$DU$2+SUM($DQ10:DQ10))</f>
        <v>0.2407134601090426</v>
      </c>
      <c r="DW10" s="6">
        <f ca="1">_xlfn.RRI(DW$2,$H10,CQ10+$DP10*$DU$2+SUM($DQ10:DR10))</f>
        <v>0.19885442857763191</v>
      </c>
      <c r="DX10" s="6">
        <f ca="1">_xlfn.RRI(DX$2,$H10,CR10+$DP10*$DU$2+SUM($DQ10:DS10))</f>
        <v>0.18014746866658116</v>
      </c>
      <c r="EC10" s="6" cm="1">
        <f t="array" ref="EC10">_xll.BDP(""&amp;$B10&amp;"","CHG_PCT_1M")/100</f>
        <v>-1.341901E-2</v>
      </c>
      <c r="ED10" s="6" cm="1">
        <f t="array" ref="ED10">_xll.BDP(""&amp;$B10&amp;"","CHG_PCT_3M")/100</f>
        <v>-5.4005070000000002E-2</v>
      </c>
      <c r="EE10" s="6" cm="1">
        <f t="array" ref="EE10">_xll.BDP(""&amp;$B10&amp;"","CHG_PCT_6M")/100</f>
        <v>-0.20305340000000002</v>
      </c>
      <c r="EF10" s="6"/>
      <c r="EG10" s="6"/>
      <c r="EH10" s="6"/>
      <c r="EI10" s="6"/>
      <c r="EJ10" s="6"/>
      <c r="EK10" s="6"/>
      <c r="EL10" s="6"/>
      <c r="EM10" s="6">
        <f>_xlfn.RRI(3,AK10,AN10)</f>
        <v>7.4473461783310713E-2</v>
      </c>
      <c r="EN10" s="6">
        <f>_xlfn.RRI(3,BC10,BF10)</f>
        <v>0.12211287527372772</v>
      </c>
      <c r="EO10" s="292" cm="1">
        <f t="array" ref="EO10">_xll.BDP(B10,"AVG_DAILY_VALUE_TRADED_3M")/10^6</f>
        <v>6120.24</v>
      </c>
    </row>
    <row r="11" spans="1:156" outlineLevel="1" x14ac:dyDescent="0.25">
      <c r="B11" s="10" t="s">
        <v>70</v>
      </c>
      <c r="C11" s="10"/>
      <c r="D11" t="s">
        <v>25</v>
      </c>
      <c r="F11" s="143"/>
      <c r="G11" s="147"/>
      <c r="H11" s="159">
        <f>_xll.BDP(B11,"Px_Last")</f>
        <v>4.67</v>
      </c>
      <c r="I11" s="47">
        <v>657.825243</v>
      </c>
      <c r="J11" s="47">
        <v>-107.151</v>
      </c>
      <c r="K11" s="3">
        <v>971.20799999999997</v>
      </c>
      <c r="L11" s="3"/>
      <c r="M11" s="23">
        <f t="shared" ref="M11" si="11">K11+J11</f>
        <v>864.05700000000002</v>
      </c>
      <c r="N11" s="23">
        <f t="shared" ref="N11" si="12">I11*H11+M11+L11</f>
        <v>3936.10088481</v>
      </c>
      <c r="O11" s="3">
        <v>782.44799999999998</v>
      </c>
      <c r="P11" s="3">
        <v>866.37799999999993</v>
      </c>
      <c r="Q11" s="3">
        <v>944.80000000000007</v>
      </c>
      <c r="R11" s="3">
        <v>1053.46848</v>
      </c>
      <c r="S11" s="3">
        <v>1139.7097758000002</v>
      </c>
      <c r="T11" s="3">
        <v>1220.0714444334001</v>
      </c>
      <c r="U11" s="3">
        <v>1290.9438310994042</v>
      </c>
      <c r="V11" s="3">
        <v>1366.0685609653685</v>
      </c>
      <c r="W11" s="3">
        <v>1445.7007746232907</v>
      </c>
      <c r="X11" s="4">
        <f t="shared" ref="X11:AF12" si="13">AG11/O11</f>
        <v>0.77293954358628314</v>
      </c>
      <c r="Y11" s="4">
        <f t="shared" si="13"/>
        <v>0.7758541883565836</v>
      </c>
      <c r="Z11" s="4">
        <f t="shared" si="13"/>
        <v>0.77555673158340366</v>
      </c>
      <c r="AA11" s="4">
        <f t="shared" si="13"/>
        <v>0.75779014540615397</v>
      </c>
      <c r="AB11" s="4">
        <f t="shared" si="13"/>
        <v>0.76779014540615398</v>
      </c>
      <c r="AC11" s="4">
        <f t="shared" si="13"/>
        <v>0.77779014540615399</v>
      </c>
      <c r="AD11" s="4">
        <f t="shared" si="13"/>
        <v>0.787790145406154</v>
      </c>
      <c r="AE11" s="4">
        <f t="shared" si="13"/>
        <v>0.79779014540615401</v>
      </c>
      <c r="AF11" s="4">
        <f t="shared" si="13"/>
        <v>0.80279014540615401</v>
      </c>
      <c r="AG11" s="146">
        <v>604.78500000000008</v>
      </c>
      <c r="AH11" s="3">
        <v>672.18300000000011</v>
      </c>
      <c r="AI11" s="3">
        <v>732.74599999999987</v>
      </c>
      <c r="AJ11" s="3">
        <v>798.30803263999996</v>
      </c>
      <c r="AK11" s="3">
        <v>875.05793448229736</v>
      </c>
      <c r="AL11" s="3">
        <v>948.95954617175062</v>
      </c>
      <c r="AM11" s="3">
        <v>1016.9928284129771</v>
      </c>
      <c r="AN11" s="3">
        <v>1089.8360358873369</v>
      </c>
      <c r="AO11" s="3">
        <v>1160.5943350736211</v>
      </c>
      <c r="AP11" s="11">
        <v>0.27442374777502726</v>
      </c>
      <c r="AQ11" s="11">
        <v>0.32303573230763727</v>
      </c>
      <c r="AR11" s="11">
        <v>0.37089901503877987</v>
      </c>
      <c r="AS11" s="11">
        <v>0.35275532306106361</v>
      </c>
      <c r="AT11" s="11">
        <v>0.37295923117056246</v>
      </c>
      <c r="AU11" s="11">
        <v>0.46276055541434374</v>
      </c>
      <c r="AV11" s="11">
        <v>0.52641044868878073</v>
      </c>
      <c r="AW11" s="11">
        <v>0.59927009438660928</v>
      </c>
      <c r="AX11" s="11">
        <v>0.67264131138666994</v>
      </c>
      <c r="AY11" s="11">
        <v>0.14888762629324584</v>
      </c>
      <c r="AZ11" s="11">
        <v>0.15367307427407595</v>
      </c>
      <c r="BA11" s="11">
        <v>0.16575197048566948</v>
      </c>
      <c r="BB11" s="11">
        <v>0.13582396072626782</v>
      </c>
      <c r="BC11" s="11">
        <v>0.16803402051340757</v>
      </c>
      <c r="BD11" s="11">
        <v>0.27652780608523381</v>
      </c>
      <c r="BE11" s="11">
        <v>0.35656207684437452</v>
      </c>
      <c r="BF11" s="11">
        <v>0.44057952010860252</v>
      </c>
      <c r="BG11" s="11">
        <v>0.51861934537998067</v>
      </c>
      <c r="BH11" s="5">
        <f t="shared" si="5"/>
        <v>4.1660678289690933</v>
      </c>
      <c r="BI11" s="5">
        <f t="shared" si="5"/>
        <v>3.7363252527593422</v>
      </c>
      <c r="BJ11" s="5">
        <f t="shared" si="5"/>
        <v>3.4535993007931514</v>
      </c>
      <c r="BK11" s="5">
        <f t="shared" si="5"/>
        <v>3.226123275623356</v>
      </c>
      <c r="BL11" s="5">
        <f t="shared" si="5"/>
        <v>3.0490101815335415</v>
      </c>
      <c r="BM11" s="5">
        <f t="shared" si="5"/>
        <v>2.8813348006694848</v>
      </c>
      <c r="BN11" s="5">
        <f t="shared" si="5"/>
        <v>2.7226248708593506</v>
      </c>
      <c r="BO11" s="5">
        <f t="shared" si="6"/>
        <v>4.4981031880348352</v>
      </c>
      <c r="BP11" s="5">
        <f t="shared" si="6"/>
        <v>4.1478068276870586</v>
      </c>
      <c r="BQ11" s="5">
        <f t="shared" si="6"/>
        <v>3.8703329805700863</v>
      </c>
      <c r="BR11" s="5">
        <f t="shared" si="6"/>
        <v>3.6116450137430571</v>
      </c>
      <c r="BS11" s="5">
        <f t="shared" si="6"/>
        <v>3.3914527805792862</v>
      </c>
      <c r="BT11" s="5">
        <f t="shared" si="9"/>
        <v>12.521475833545749</v>
      </c>
      <c r="BU11" s="5">
        <f t="shared" si="9"/>
        <v>10.091612055868945</v>
      </c>
      <c r="BV11" s="5">
        <f t="shared" si="9"/>
        <v>8.8714044556531064</v>
      </c>
      <c r="BW11" s="5">
        <f t="shared" si="9"/>
        <v>7.7928133636971149</v>
      </c>
      <c r="BX11" s="5">
        <f t="shared" si="9"/>
        <v>6.9427790427749034</v>
      </c>
      <c r="BY11" s="5">
        <f t="shared" si="10"/>
        <v>27.791991084492185</v>
      </c>
      <c r="BZ11" s="5">
        <f t="shared" si="10"/>
        <v>16.887994253136959</v>
      </c>
      <c r="CA11" s="5">
        <f t="shared" si="10"/>
        <v>13.097298628418841</v>
      </c>
      <c r="CB11" s="5">
        <f t="shared" si="10"/>
        <v>10.599675624615616</v>
      </c>
      <c r="CC11" s="5">
        <f t="shared" si="10"/>
        <v>9.0046775956234271</v>
      </c>
      <c r="CE11" s="12">
        <v>35</v>
      </c>
      <c r="CF11" s="12">
        <v>30</v>
      </c>
      <c r="CG11" s="12">
        <v>27</v>
      </c>
      <c r="CH11" s="12">
        <v>27</v>
      </c>
      <c r="CI11" s="12">
        <v>27</v>
      </c>
      <c r="CJ11" s="46">
        <v>178.04131950610568</v>
      </c>
      <c r="CK11" s="46">
        <v>220.97026380498704</v>
      </c>
      <c r="CL11" s="46">
        <v>268.70022207898194</v>
      </c>
      <c r="CM11" s="46">
        <v>317.47995150633579</v>
      </c>
      <c r="CN11" s="46"/>
      <c r="CO11" s="43">
        <f t="shared" si="7"/>
        <v>9.6784732129831834</v>
      </c>
      <c r="CP11" s="43">
        <f t="shared" si="7"/>
        <v>10.696862305331235</v>
      </c>
      <c r="CQ11" s="43">
        <f t="shared" si="7"/>
        <v>11.895647042932268</v>
      </c>
      <c r="CR11" s="43">
        <f t="shared" si="7"/>
        <v>14.002722325259478</v>
      </c>
      <c r="CS11" s="7"/>
      <c r="CT11" s="7"/>
      <c r="CU11" s="7"/>
      <c r="CV11" s="7"/>
      <c r="CW11" s="7"/>
      <c r="CX11" s="7"/>
      <c r="CY11" s="41"/>
      <c r="CZ11" s="41"/>
      <c r="DA11" s="41"/>
      <c r="DB11" s="41"/>
      <c r="DC11" s="19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7"/>
      <c r="DO11" s="7"/>
      <c r="DP11" s="7"/>
      <c r="DQ11" s="7"/>
      <c r="DR11" s="7"/>
      <c r="DS11" s="7"/>
      <c r="DT11" s="7"/>
      <c r="DU11" s="6">
        <f t="shared" ca="1" si="8"/>
        <v>2.683569108245043</v>
      </c>
      <c r="DV11" s="6">
        <f ca="1">_xlfn.RRI(DV$2,$H11,CP11+$DP11*$DU$2+SUM($DQ11:DQ11))</f>
        <v>0.70173787662144194</v>
      </c>
      <c r="DW11" s="6">
        <f ca="1">_xlfn.RRI(DW$2,$H11,CQ11+$DP11*$DU$2+SUM($DQ11:DR11))</f>
        <v>0.44108464394066726</v>
      </c>
      <c r="DX11" s="6">
        <f ca="1">_xlfn.RRI(DX$2,$H11,CR11+$DP11*$DU$2+SUM($DQ11:DS11))</f>
        <v>0.36144683662929666</v>
      </c>
      <c r="EC11" s="6" cm="1">
        <f t="array" ref="EC11">_xll.BDP(""&amp;$B11&amp;"","CHG_PCT_1M")/100</f>
        <v>-8.9668639999999994E-2</v>
      </c>
      <c r="ED11" s="6" cm="1">
        <f t="array" ref="ED11">_xll.BDP(""&amp;$B11&amp;"","CHG_PCT_3M")/100</f>
        <v>-0.25399360000000004</v>
      </c>
      <c r="EE11" s="6" cm="1">
        <f t="array" ref="EE11">_xll.BDP(""&amp;$B11&amp;"","CHG_PCT_6M")/100</f>
        <v>-0.35939639999999995</v>
      </c>
      <c r="EF11" s="6"/>
      <c r="EG11" s="6"/>
      <c r="EH11" s="6"/>
      <c r="EI11" s="6"/>
      <c r="EJ11" s="6"/>
      <c r="EK11" s="6"/>
      <c r="EL11" s="6"/>
      <c r="EM11" s="6"/>
      <c r="EN11" s="6"/>
      <c r="EO11" s="292" cm="1">
        <f t="array" ref="EO11">_xll.BDP(B11,"AVG_DAILY_VALUE_TRADED_3M")/10^6</f>
        <v>60.976632000000002</v>
      </c>
    </row>
    <row r="12" spans="1:156" outlineLevel="1" x14ac:dyDescent="0.25">
      <c r="B12" s="9" t="s">
        <v>51</v>
      </c>
      <c r="C12" s="9"/>
      <c r="D12" t="s">
        <v>46</v>
      </c>
      <c r="F12" s="143">
        <v>45993</v>
      </c>
      <c r="H12" s="159">
        <f>_xll.BDP(B12,"Px_Last")</f>
        <v>210.78</v>
      </c>
      <c r="I12" s="25">
        <v>53.54</v>
      </c>
      <c r="J12" s="25">
        <v>-1672.2339999999999</v>
      </c>
      <c r="K12" s="2">
        <v>280.53199999999998</v>
      </c>
      <c r="M12" s="24">
        <f>K12+J12</f>
        <v>-1391.702</v>
      </c>
      <c r="N12" s="24">
        <f>I12*H12+M12+L12</f>
        <v>9893.4592000000011</v>
      </c>
      <c r="O12" s="3">
        <v>1730.9690000000001</v>
      </c>
      <c r="P12" s="3">
        <v>2170.23</v>
      </c>
      <c r="Q12" s="3">
        <v>2627.5429999999997</v>
      </c>
      <c r="R12" s="3">
        <v>3086.3289412407207</v>
      </c>
      <c r="S12" s="3">
        <v>3602.3551858928336</v>
      </c>
      <c r="T12" s="3">
        <v>4168.6303887867562</v>
      </c>
      <c r="U12" s="3">
        <v>4755.4645136455247</v>
      </c>
      <c r="V12" s="3">
        <v>5363.3129783488121</v>
      </c>
      <c r="W12" s="3">
        <v>5992.6259440935382</v>
      </c>
      <c r="X12" s="4">
        <f t="shared" si="13"/>
        <v>0.82692526555934853</v>
      </c>
      <c r="Y12" s="4">
        <f t="shared" si="13"/>
        <v>0.85318192081023669</v>
      </c>
      <c r="Z12" s="4">
        <f t="shared" si="13"/>
        <v>0.86388234179231316</v>
      </c>
      <c r="AA12" s="4">
        <f t="shared" si="13"/>
        <v>0.86</v>
      </c>
      <c r="AB12" s="4">
        <f t="shared" si="13"/>
        <v>0.86</v>
      </c>
      <c r="AC12" s="4">
        <f t="shared" si="13"/>
        <v>0.86</v>
      </c>
      <c r="AD12" s="4">
        <f t="shared" si="13"/>
        <v>0.86</v>
      </c>
      <c r="AE12" s="4">
        <f t="shared" si="13"/>
        <v>0.86</v>
      </c>
      <c r="AF12" s="4">
        <f t="shared" si="13"/>
        <v>0.85999999999999988</v>
      </c>
      <c r="AG12" s="3">
        <v>1431.3820000000001</v>
      </c>
      <c r="AH12" s="3">
        <v>1851.6010000000001</v>
      </c>
      <c r="AI12" s="3">
        <v>2269.8879999999995</v>
      </c>
      <c r="AJ12" s="3">
        <v>2654.2428894670197</v>
      </c>
      <c r="AK12" s="3">
        <v>3098.0254598678366</v>
      </c>
      <c r="AL12" s="3">
        <v>3585.0221343566104</v>
      </c>
      <c r="AM12" s="3">
        <v>4089.699481735151</v>
      </c>
      <c r="AN12" s="3">
        <v>4612.4491613799782</v>
      </c>
      <c r="AO12" s="3">
        <v>5153.6583119204424</v>
      </c>
      <c r="AP12" s="11">
        <v>2.7754946280749158</v>
      </c>
      <c r="AQ12" s="11">
        <v>5.9993676707289065</v>
      </c>
      <c r="AR12" s="11">
        <v>8.1228575705411306</v>
      </c>
      <c r="AS12" s="11">
        <v>9.6186539929645889</v>
      </c>
      <c r="AT12" s="11">
        <v>11.654566391731544</v>
      </c>
      <c r="AU12" s="11">
        <v>14.253057992477139</v>
      </c>
      <c r="AV12" s="11">
        <v>17.154467146046866</v>
      </c>
      <c r="AW12" s="11">
        <v>20.380992728587628</v>
      </c>
      <c r="AX12" s="11">
        <v>24.05774526158163</v>
      </c>
      <c r="AY12" s="11"/>
      <c r="AZ12" s="11"/>
      <c r="BA12" s="11"/>
      <c r="BB12" s="18"/>
      <c r="BC12" s="18"/>
      <c r="BD12" s="18"/>
      <c r="BE12" s="18"/>
      <c r="BF12" s="18"/>
      <c r="BG12" s="18"/>
      <c r="BH12" s="5">
        <f t="shared" si="5"/>
        <v>3.7652891693875237</v>
      </c>
      <c r="BI12" s="5">
        <f t="shared" si="5"/>
        <v>3.2055750985579579</v>
      </c>
      <c r="BJ12" s="5">
        <f t="shared" si="5"/>
        <v>2.7463863748760065</v>
      </c>
      <c r="BK12" s="5">
        <f t="shared" si="5"/>
        <v>2.373311682084486</v>
      </c>
      <c r="BL12" s="5">
        <f t="shared" si="5"/>
        <v>2.0804401276912707</v>
      </c>
      <c r="BM12" s="5">
        <f t="shared" si="5"/>
        <v>1.8446544589023541</v>
      </c>
      <c r="BN12" s="5">
        <f t="shared" si="5"/>
        <v>1.650938885940513</v>
      </c>
      <c r="BO12" s="5">
        <f t="shared" si="6"/>
        <v>3.193472528925589</v>
      </c>
      <c r="BP12" s="5">
        <f t="shared" si="6"/>
        <v>2.7596647466098672</v>
      </c>
      <c r="BQ12" s="5">
        <f t="shared" si="6"/>
        <v>2.4191164275479893</v>
      </c>
      <c r="BR12" s="5">
        <f t="shared" si="6"/>
        <v>2.1449470452352957</v>
      </c>
      <c r="BS12" s="5">
        <f t="shared" si="6"/>
        <v>1.9196963790005968</v>
      </c>
      <c r="BT12" s="234"/>
      <c r="BU12" s="234"/>
      <c r="BV12" s="234"/>
      <c r="BW12" s="234"/>
      <c r="BX12" s="234"/>
      <c r="BY12" s="234"/>
      <c r="BZ12" s="234"/>
      <c r="CA12" s="234"/>
      <c r="CB12" s="234"/>
      <c r="CC12" s="234"/>
      <c r="CD12" t="s">
        <v>63</v>
      </c>
      <c r="CE12" s="12">
        <v>6</v>
      </c>
      <c r="CF12" s="12">
        <v>6</v>
      </c>
      <c r="CG12" s="12">
        <v>6</v>
      </c>
      <c r="CH12" s="12">
        <v>6</v>
      </c>
      <c r="CI12" s="12">
        <v>7</v>
      </c>
      <c r="CJ12" s="46">
        <v>501.84564523056144</v>
      </c>
      <c r="CK12" s="46">
        <v>568.77296466632856</v>
      </c>
      <c r="CL12" s="46">
        <v>638.92694739079775</v>
      </c>
      <c r="CM12" s="46">
        <v>712.7012638119644</v>
      </c>
      <c r="CN12" s="46">
        <v>790.59503011853735</v>
      </c>
      <c r="CO12" s="19">
        <f>(CY12-DI12)/DD12</f>
        <v>436.27056060253705</v>
      </c>
      <c r="CP12" s="19">
        <f t="shared" ref="CP12:CR12" si="14">(CZ12-DJ12)/DE12</f>
        <v>493.83621935134647</v>
      </c>
      <c r="CQ12" s="19">
        <f t="shared" si="14"/>
        <v>554.18142748057028</v>
      </c>
      <c r="CR12" s="19">
        <f t="shared" si="14"/>
        <v>617.64554502768692</v>
      </c>
      <c r="CS12" s="7"/>
      <c r="CT12" s="7"/>
      <c r="CU12" s="7"/>
      <c r="CV12" s="7"/>
      <c r="CW12" s="7"/>
      <c r="CX12" s="7"/>
      <c r="CY12" s="41">
        <f>CE12*AL12</f>
        <v>21510.132806139663</v>
      </c>
      <c r="CZ12" s="41">
        <f>CF12*AM12</f>
        <v>24538.196890410905</v>
      </c>
      <c r="DA12" s="41">
        <f>CG12*AN12</f>
        <v>27674.694968279869</v>
      </c>
      <c r="DB12" s="41">
        <f>CH12*AO12</f>
        <v>30921.949871522655</v>
      </c>
      <c r="DC12" s="19"/>
      <c r="DD12" s="40">
        <v>53.399085131861142</v>
      </c>
      <c r="DE12" s="40">
        <v>53.306160744929024</v>
      </c>
      <c r="DF12" s="40">
        <v>53.161310551701547</v>
      </c>
      <c r="DG12" s="40">
        <v>52.956369773631984</v>
      </c>
      <c r="DH12" s="40"/>
      <c r="DI12" s="40">
        <v>-1786.316</v>
      </c>
      <c r="DJ12" s="40">
        <v>-1786.316</v>
      </c>
      <c r="DK12" s="40">
        <v>-1786.316</v>
      </c>
      <c r="DL12" s="40">
        <v>-1786.316</v>
      </c>
      <c r="DM12" s="40"/>
      <c r="DN12" s="7"/>
      <c r="DO12" s="7"/>
      <c r="DP12" s="22"/>
      <c r="DQ12" s="22"/>
      <c r="DR12" s="22"/>
      <c r="DS12" s="22"/>
      <c r="DT12" s="22"/>
      <c r="DU12" s="6">
        <f t="shared" ca="1" si="8"/>
        <v>2.6750280935392556</v>
      </c>
      <c r="DV12" s="6">
        <f ca="1">_xlfn.RRI(DV$2,$H12,CP12+$DP12*$DU$2+SUM($DQ12:DQ12))</f>
        <v>0.72658563196061809</v>
      </c>
      <c r="DW12" s="6">
        <f ca="1">_xlfn.RRI(DW$2,$H12,CQ12+$DP12*$DU$2+SUM($DQ12:DR12))</f>
        <v>0.45902731578128209</v>
      </c>
      <c r="DX12" s="6">
        <f ca="1">_xlfn.RRI(DX$2,$H12,CR12+$DP12*$DU$2+SUM($DQ12:DS12))</f>
        <v>0.3526793379192481</v>
      </c>
      <c r="EC12" s="6" cm="1">
        <f t="array" ref="EC12">_xll.BDP(""&amp;$B12&amp;"","CHG_PCT_1M")/100</f>
        <v>6.8105830000000006E-2</v>
      </c>
      <c r="ED12" s="6" cm="1">
        <f t="array" ref="ED12">_xll.BDP(""&amp;$B12&amp;"","CHG_PCT_3M")/100</f>
        <v>-0.28925010000000001</v>
      </c>
      <c r="EE12" s="6" cm="1">
        <f t="array" ref="EE12">_xll.BDP(""&amp;$B12&amp;"","CHG_PCT_6M")/100</f>
        <v>-0.4528179</v>
      </c>
      <c r="EF12" s="6"/>
      <c r="EG12" s="6"/>
      <c r="EH12" s="6"/>
      <c r="EI12" s="6"/>
      <c r="EJ12" s="6"/>
      <c r="EK12" s="6"/>
      <c r="EL12" s="6"/>
      <c r="EM12" s="6"/>
      <c r="EN12" s="6"/>
      <c r="EO12" s="292" cm="1">
        <f t="array" ref="EO12">_xll.BDP(B12,"AVG_DAILY_VALUE_TRADED_3M")/10^6</f>
        <v>397.83187199999998</v>
      </c>
    </row>
    <row r="13" spans="1:156" outlineLevel="1" x14ac:dyDescent="0.25">
      <c r="B13" s="9"/>
      <c r="C13" s="9"/>
      <c r="D13" t="s">
        <v>44</v>
      </c>
      <c r="F13" s="143"/>
      <c r="G13" s="147"/>
      <c r="H13" s="149"/>
      <c r="I13" s="39"/>
      <c r="J13" s="25"/>
      <c r="K13" s="2"/>
      <c r="L13" s="2"/>
      <c r="M13" s="23"/>
      <c r="N13" s="23"/>
      <c r="O13" s="3"/>
      <c r="P13" s="3"/>
      <c r="Q13" s="3"/>
      <c r="R13" s="3"/>
      <c r="S13" s="3"/>
      <c r="T13" s="3"/>
      <c r="U13" s="3"/>
      <c r="V13" s="3"/>
      <c r="W13" s="3"/>
      <c r="X13" s="4"/>
      <c r="Y13" s="4"/>
      <c r="Z13" s="4"/>
      <c r="AA13" s="4"/>
      <c r="AB13" s="4"/>
      <c r="AC13" s="4"/>
      <c r="AD13" s="4"/>
      <c r="AE13" s="4"/>
      <c r="AF13" s="4"/>
      <c r="AG13" s="3"/>
      <c r="AH13" s="3"/>
      <c r="AI13" s="3"/>
      <c r="AJ13" s="3"/>
      <c r="AK13" s="3"/>
      <c r="AL13" s="3"/>
      <c r="AM13" s="3"/>
      <c r="AN13" s="3"/>
      <c r="AO13" s="3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8"/>
      <c r="BC13" s="18"/>
      <c r="BD13" s="18"/>
      <c r="BE13" s="18"/>
      <c r="BF13" s="18"/>
      <c r="BG13" s="18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E13" s="12"/>
      <c r="CF13" s="12"/>
      <c r="CG13" s="12"/>
      <c r="CH13" s="12"/>
      <c r="CI13" s="12"/>
      <c r="CJ13" s="46"/>
      <c r="CK13" s="46"/>
      <c r="CL13" s="46"/>
      <c r="CM13" s="46"/>
      <c r="CN13" s="46"/>
      <c r="CO13" s="43"/>
      <c r="CP13" s="43"/>
      <c r="CQ13" s="43"/>
      <c r="CR13" s="43"/>
      <c r="CS13" s="7"/>
      <c r="CT13" s="7"/>
      <c r="CU13" s="7"/>
      <c r="CV13" s="7"/>
      <c r="CW13" s="7"/>
      <c r="CX13" s="7"/>
      <c r="CY13" s="19"/>
      <c r="CZ13" s="19"/>
      <c r="DA13" s="19"/>
      <c r="DB13" s="19"/>
      <c r="DC13" s="19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7"/>
      <c r="DO13" s="7"/>
      <c r="DP13" s="7"/>
      <c r="DQ13" s="7"/>
      <c r="DR13" s="7"/>
      <c r="DS13" s="7"/>
      <c r="DT13" s="7"/>
      <c r="DU13" s="6"/>
      <c r="DV13" s="6"/>
      <c r="DW13" s="6"/>
      <c r="DX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292"/>
    </row>
    <row r="14" spans="1:156" outlineLevel="1" x14ac:dyDescent="0.25">
      <c r="B14" s="10" t="s">
        <v>93</v>
      </c>
      <c r="C14" s="10"/>
      <c r="D14" t="s">
        <v>43</v>
      </c>
      <c r="F14" s="143"/>
      <c r="G14" s="147"/>
      <c r="H14" s="149">
        <f>_xll.BDP(B14,"Px_Last")</f>
        <v>306.685</v>
      </c>
      <c r="I14" s="3">
        <v>43.725228197318629</v>
      </c>
      <c r="J14" s="25">
        <v>-951</v>
      </c>
      <c r="K14" s="3">
        <v>599.23099999999999</v>
      </c>
      <c r="L14" s="3"/>
      <c r="M14" s="23">
        <f t="shared" ref="M14:M19" si="15">K14+J14</f>
        <v>-351.76900000000001</v>
      </c>
      <c r="N14" s="23">
        <f t="shared" ref="N14:N19" si="16">I14*H14+M14+L14</f>
        <v>13058.102609694664</v>
      </c>
      <c r="O14" s="3">
        <v>1850.204</v>
      </c>
      <c r="P14" s="3">
        <v>1951.751</v>
      </c>
      <c r="Q14" s="3">
        <v>2137.8029999999999</v>
      </c>
      <c r="R14" s="3">
        <v>2349.6994450000002</v>
      </c>
      <c r="S14" s="3">
        <v>2568.8786864146882</v>
      </c>
      <c r="T14" s="3">
        <v>2794.7966403498158</v>
      </c>
      <c r="U14" s="3">
        <v>3023.1905787256424</v>
      </c>
      <c r="V14" s="3">
        <v>3263.4463203460091</v>
      </c>
      <c r="W14" s="3">
        <v>3497.093060106843</v>
      </c>
      <c r="X14" s="4">
        <f t="shared" ref="X14:AF14" si="17">AG14/O14</f>
        <v>0.46672745275656102</v>
      </c>
      <c r="Y14" s="4">
        <f t="shared" si="17"/>
        <v>0.47330217840288019</v>
      </c>
      <c r="Z14" s="4">
        <f t="shared" si="17"/>
        <v>0.4696630138511359</v>
      </c>
      <c r="AA14" s="4">
        <f t="shared" si="17"/>
        <v>0.49916478679680665</v>
      </c>
      <c r="AB14" s="4">
        <f t="shared" si="17"/>
        <v>0.50916478679680666</v>
      </c>
      <c r="AC14" s="4">
        <f t="shared" si="17"/>
        <v>0.51916478679680667</v>
      </c>
      <c r="AD14" s="4">
        <f t="shared" si="17"/>
        <v>0.52916478679680667</v>
      </c>
      <c r="AE14" s="4">
        <f t="shared" si="17"/>
        <v>0.53916478679680668</v>
      </c>
      <c r="AF14" s="4">
        <f t="shared" si="17"/>
        <v>0.54916478679680669</v>
      </c>
      <c r="AG14" s="3">
        <v>863.54100000000017</v>
      </c>
      <c r="AH14" s="3">
        <v>923.7679999999998</v>
      </c>
      <c r="AI14" s="3">
        <v>1004.0469999999998</v>
      </c>
      <c r="AJ14" s="3">
        <v>1172.8872225</v>
      </c>
      <c r="AK14" s="3">
        <v>1307.9825686751956</v>
      </c>
      <c r="AL14" s="3">
        <v>1450.9600019276436</v>
      </c>
      <c r="AM14" s="3">
        <v>1599.7659980374692</v>
      </c>
      <c r="AN14" s="3">
        <v>1759.5353395321793</v>
      </c>
      <c r="AO14" s="3">
        <v>1920.4803647621668</v>
      </c>
      <c r="AP14" s="11">
        <v>7.5026533644661457</v>
      </c>
      <c r="AQ14" s="11">
        <v>7.8014683532465066</v>
      </c>
      <c r="AR14" s="11">
        <v>9.548152746166398</v>
      </c>
      <c r="AS14" s="11">
        <v>11.457391894486445</v>
      </c>
      <c r="AT14" s="11">
        <v>12.914406937624149</v>
      </c>
      <c r="AU14" s="11">
        <v>14.962453448677508</v>
      </c>
      <c r="AV14" s="11">
        <v>17.301616402976393</v>
      </c>
      <c r="AW14" s="11">
        <v>19.909106856376102</v>
      </c>
      <c r="AX14" s="11">
        <v>22.66846816737824</v>
      </c>
      <c r="AY14" s="11">
        <v>5.6202131655182752</v>
      </c>
      <c r="AZ14" s="11">
        <v>5.8256507913463738</v>
      </c>
      <c r="BA14" s="11">
        <v>7.3458350274911766</v>
      </c>
      <c r="BB14" s="11">
        <v>8.8180029610519668</v>
      </c>
      <c r="BC14" s="11">
        <v>9.9702343662347843</v>
      </c>
      <c r="BD14" s="11">
        <v>11.691027762967476</v>
      </c>
      <c r="BE14" s="11">
        <v>13.688734880568248</v>
      </c>
      <c r="BF14" s="11">
        <v>15.928452198157958</v>
      </c>
      <c r="BG14" s="11">
        <v>18.315838785308934</v>
      </c>
      <c r="BH14" s="5">
        <f t="shared" ref="BH14:BN15" si="18">$N14/Q14</f>
        <v>6.108187990050844</v>
      </c>
      <c r="BI14" s="5">
        <f t="shared" si="18"/>
        <v>5.557350169819129</v>
      </c>
      <c r="BJ14" s="5">
        <f t="shared" si="18"/>
        <v>5.0831916192661835</v>
      </c>
      <c r="BK14" s="5">
        <f t="shared" si="18"/>
        <v>4.6722907925280115</v>
      </c>
      <c r="BL14" s="5">
        <f t="shared" si="18"/>
        <v>4.3193117567861075</v>
      </c>
      <c r="BM14" s="5">
        <f t="shared" si="18"/>
        <v>4.0013229352919675</v>
      </c>
      <c r="BN14" s="5">
        <f t="shared" si="18"/>
        <v>3.7339877393184708</v>
      </c>
      <c r="BO14" s="5">
        <f t="shared" ref="BO14:BS15" si="19">$N14/AK14</f>
        <v>9.9833919215916662</v>
      </c>
      <c r="BP14" s="5">
        <f t="shared" si="19"/>
        <v>8.9996296192497276</v>
      </c>
      <c r="BQ14" s="5">
        <f t="shared" si="19"/>
        <v>8.162507907852671</v>
      </c>
      <c r="BR14" s="5">
        <f t="shared" si="19"/>
        <v>7.4213358017387243</v>
      </c>
      <c r="BS14" s="5">
        <f t="shared" si="19"/>
        <v>6.7993939689728542</v>
      </c>
      <c r="BT14" s="5"/>
      <c r="BU14" s="5"/>
      <c r="BV14" s="5"/>
      <c r="BW14" s="5"/>
      <c r="BX14" s="5"/>
      <c r="BY14" s="5">
        <f t="shared" ref="BY14:CC15" si="20">$H14/BC14</f>
        <v>30.760059265870424</v>
      </c>
      <c r="BZ14" s="5">
        <f t="shared" si="20"/>
        <v>26.232509768855056</v>
      </c>
      <c r="CA14" s="5">
        <f t="shared" si="20"/>
        <v>22.404188749053255</v>
      </c>
      <c r="CB14" s="5">
        <f t="shared" si="20"/>
        <v>19.253910937778784</v>
      </c>
      <c r="CC14" s="5">
        <f t="shared" si="20"/>
        <v>16.744250896442203</v>
      </c>
      <c r="CE14" s="12">
        <v>22</v>
      </c>
      <c r="CF14" s="12">
        <v>22</v>
      </c>
      <c r="CG14" s="12">
        <v>22</v>
      </c>
      <c r="CH14" s="12">
        <v>22</v>
      </c>
      <c r="CI14" s="82">
        <v>27</v>
      </c>
      <c r="CJ14" s="46"/>
      <c r="CK14" s="46"/>
      <c r="CL14" s="46"/>
      <c r="CM14" s="46"/>
      <c r="CN14" s="46"/>
      <c r="CO14" s="43">
        <f>CE14*BD14</f>
        <v>257.20261078528449</v>
      </c>
      <c r="CP14" s="43">
        <f>CF14*BE14</f>
        <v>301.15216737250148</v>
      </c>
      <c r="CQ14" s="43">
        <f>CG14*BF14</f>
        <v>350.42594835947506</v>
      </c>
      <c r="CR14" s="43">
        <f>CH14*BG14</f>
        <v>402.94845327679656</v>
      </c>
      <c r="CS14" s="7"/>
      <c r="CT14" s="7"/>
      <c r="CU14" s="7"/>
      <c r="CV14" s="7"/>
      <c r="CW14" s="7"/>
      <c r="CX14" s="7"/>
      <c r="CY14" s="41"/>
      <c r="CZ14" s="41"/>
      <c r="DA14" s="41"/>
      <c r="DB14" s="41"/>
      <c r="DC14" s="19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7"/>
      <c r="DO14" s="7"/>
      <c r="DP14" s="7"/>
      <c r="DQ14" s="7"/>
      <c r="DR14" s="7"/>
      <c r="DS14" s="7"/>
      <c r="DT14" s="7"/>
      <c r="DU14" s="6">
        <f t="shared" ref="DU14:DU15" ca="1" si="21">_xlfn.RRI(DU$2,$H14,CO14+$DP14*$DU$2)</f>
        <v>-0.27008344431928444</v>
      </c>
      <c r="DV14" s="6">
        <f ca="1">_xlfn.RRI(DV$2,$H14,CP14+$DP14*$DU$2+SUM($DQ14:DQ14))</f>
        <v>-1.1610459488267333E-2</v>
      </c>
      <c r="DW14" s="6">
        <f ca="1">_xlfn.RRI(DW$2,$H14,CQ14+$DP14*$DU$2+SUM($DQ14:DR14))</f>
        <v>5.3484932029726817E-2</v>
      </c>
      <c r="DX14" s="6">
        <f ca="1">_xlfn.RRI(DX$2,$H14,CR14+$DP14*$DU$2+SUM($DQ14:DS14))</f>
        <v>7.9724040180525702E-2</v>
      </c>
      <c r="EC14" s="6" cm="1">
        <f t="array" ref="EC14">_xll.BDP(""&amp;$B14&amp;"","CHG_PCT_1M")/100</f>
        <v>-5.5132750000000001E-2</v>
      </c>
      <c r="ED14" s="6" cm="1">
        <f t="array" ref="ED14">_xll.BDP(""&amp;$B14&amp;"","CHG_PCT_3M")/100</f>
        <v>-0.1812782</v>
      </c>
      <c r="EE14" s="6" cm="1">
        <f t="array" ref="EE14">_xll.BDP(""&amp;$B14&amp;"","CHG_PCT_6M")/100</f>
        <v>-0.33358319999999997</v>
      </c>
      <c r="EF14" s="6"/>
      <c r="EG14" s="6"/>
      <c r="EH14" s="6"/>
      <c r="EI14" s="6"/>
      <c r="EJ14" s="6"/>
      <c r="EK14" s="6"/>
      <c r="EL14" s="6"/>
      <c r="EM14" s="6"/>
      <c r="EN14" s="6"/>
      <c r="EO14" s="292"/>
    </row>
    <row r="15" spans="1:156" x14ac:dyDescent="0.25">
      <c r="B15" s="10" t="s">
        <v>176</v>
      </c>
      <c r="C15" s="10"/>
      <c r="D15" t="s">
        <v>164</v>
      </c>
      <c r="F15" s="186">
        <v>46119</v>
      </c>
      <c r="G15" s="147"/>
      <c r="H15" s="149">
        <f>_xll.BDP(B15,"Px_Last")</f>
        <v>877.1</v>
      </c>
      <c r="I15" s="3">
        <v>88</v>
      </c>
      <c r="J15" s="25">
        <v>-877.1</v>
      </c>
      <c r="K15" s="3">
        <v>2573.1999999999998</v>
      </c>
      <c r="L15" s="3"/>
      <c r="M15" s="76">
        <f t="shared" si="15"/>
        <v>1696.1</v>
      </c>
      <c r="N15" s="76">
        <f t="shared" si="16"/>
        <v>78880.900000000009</v>
      </c>
      <c r="O15" s="3">
        <v>1712.6</v>
      </c>
      <c r="P15" s="3">
        <v>1767</v>
      </c>
      <c r="Q15" s="3">
        <v>1359.2</v>
      </c>
      <c r="R15" s="3">
        <v>1645</v>
      </c>
      <c r="S15" s="3">
        <v>2918</v>
      </c>
      <c r="T15" s="3">
        <v>4212.8142735300753</v>
      </c>
      <c r="U15" s="3">
        <v>5897.4893293611303</v>
      </c>
      <c r="V15" s="3">
        <v>9067.015657131411</v>
      </c>
      <c r="W15" s="3">
        <v>14435.302074118294</v>
      </c>
      <c r="X15" s="21">
        <v>0.51559033049165004</v>
      </c>
      <c r="Y15" s="21">
        <v>0.43208828522920206</v>
      </c>
      <c r="Z15" s="21">
        <v>0.30172160094173045</v>
      </c>
      <c r="AA15" s="21">
        <v>0.3474164133738602</v>
      </c>
      <c r="AB15" s="21">
        <v>0.43</v>
      </c>
      <c r="AC15" s="21">
        <v>0.47513252519071536</v>
      </c>
      <c r="AD15" s="21">
        <v>0.5052896426720187</v>
      </c>
      <c r="AE15" s="21">
        <v>0.53445507902658651</v>
      </c>
      <c r="AF15" s="21">
        <v>0.55607762921769077</v>
      </c>
      <c r="AG15" s="144">
        <f>X15*O15</f>
        <v>882.99999999999977</v>
      </c>
      <c r="AH15" s="144">
        <f t="shared" ref="AH15:AO15" si="22">Y15*P15</f>
        <v>763.5</v>
      </c>
      <c r="AI15" s="144">
        <f t="shared" si="22"/>
        <v>410.1</v>
      </c>
      <c r="AJ15" s="144">
        <f t="shared" si="22"/>
        <v>571.5</v>
      </c>
      <c r="AK15" s="144">
        <f t="shared" si="22"/>
        <v>1254.74</v>
      </c>
      <c r="AL15" s="144">
        <f t="shared" si="22"/>
        <v>2001.6450839418337</v>
      </c>
      <c r="AM15" s="144">
        <f t="shared" si="22"/>
        <v>2979.9402758949286</v>
      </c>
      <c r="AN15" s="144">
        <f t="shared" si="22"/>
        <v>4845.9125695674657</v>
      </c>
      <c r="AO15" s="144">
        <f t="shared" si="22"/>
        <v>8027.1485544169154</v>
      </c>
      <c r="AP15" s="11">
        <v>6.0539083557951479</v>
      </c>
      <c r="AQ15" s="11">
        <v>4.5629522431259044</v>
      </c>
      <c r="AR15" s="11">
        <v>0.44017725258493368</v>
      </c>
      <c r="AS15" s="11">
        <v>2.0561797752808979</v>
      </c>
      <c r="AT15" s="11">
        <v>7.078310227272727</v>
      </c>
      <c r="AU15" s="11">
        <v>12.657810119845339</v>
      </c>
      <c r="AV15" s="11">
        <v>20.380996262259075</v>
      </c>
      <c r="AW15" s="11">
        <v>36.000325920241579</v>
      </c>
      <c r="AX15" s="11">
        <v>64.968502805455401</v>
      </c>
      <c r="AY15" s="11">
        <v>4.664420485175202</v>
      </c>
      <c r="AZ15" s="11">
        <v>2.4153400868306796</v>
      </c>
      <c r="BA15" s="11">
        <v>-1.4623338257016247</v>
      </c>
      <c r="BB15" s="11">
        <v>-0.43258426966292191</v>
      </c>
      <c r="BC15" s="11">
        <v>4.9305829545454545</v>
      </c>
      <c r="BD15" s="11">
        <v>10.008247142864017</v>
      </c>
      <c r="BE15" s="11">
        <v>17.151347866107812</v>
      </c>
      <c r="BF15" s="11">
        <v>31.79144354936939</v>
      </c>
      <c r="BG15" s="11">
        <v>59.275313044411192</v>
      </c>
      <c r="BH15" s="5">
        <f t="shared" si="18"/>
        <v>58.0347998822837</v>
      </c>
      <c r="BI15" s="5">
        <f t="shared" si="18"/>
        <v>47.95191489361703</v>
      </c>
      <c r="BJ15" s="5">
        <f t="shared" si="18"/>
        <v>27.032522275531189</v>
      </c>
      <c r="BK15" s="5">
        <f t="shared" si="18"/>
        <v>18.72403929497294</v>
      </c>
      <c r="BL15" s="5">
        <f t="shared" si="18"/>
        <v>13.375335773357831</v>
      </c>
      <c r="BM15" s="5">
        <f t="shared" si="18"/>
        <v>8.6997643968948495</v>
      </c>
      <c r="BN15" s="5">
        <f t="shared" si="18"/>
        <v>5.464444013362848</v>
      </c>
      <c r="BO15" s="5">
        <f t="shared" si="19"/>
        <v>62.866330873328344</v>
      </c>
      <c r="BP15" s="5">
        <f t="shared" si="19"/>
        <v>39.408035237026176</v>
      </c>
      <c r="BQ15" s="5">
        <f t="shared" si="19"/>
        <v>26.470631186160496</v>
      </c>
      <c r="BR15" s="5">
        <f t="shared" si="19"/>
        <v>16.277821538790313</v>
      </c>
      <c r="BS15" s="5">
        <f t="shared" si="19"/>
        <v>9.8267646929987382</v>
      </c>
      <c r="BT15" s="5">
        <f t="shared" ref="BT15:BX16" si="23">$H15/AT15</f>
        <v>123.91375509659551</v>
      </c>
      <c r="BU15" s="5">
        <f t="shared" si="23"/>
        <v>69.293186712040594</v>
      </c>
      <c r="BV15" s="5">
        <f t="shared" si="23"/>
        <v>43.035187716715683</v>
      </c>
      <c r="BW15" s="5">
        <f t="shared" si="23"/>
        <v>24.363668316314907</v>
      </c>
      <c r="BX15" s="5">
        <f t="shared" si="23"/>
        <v>13.500388066913402</v>
      </c>
      <c r="BY15" s="5">
        <f t="shared" si="20"/>
        <v>177.88971569607412</v>
      </c>
      <c r="BZ15" s="5">
        <f t="shared" si="20"/>
        <v>87.637723917057883</v>
      </c>
      <c r="CA15" s="5">
        <f t="shared" si="20"/>
        <v>51.138837999619092</v>
      </c>
      <c r="CB15" s="5">
        <f t="shared" si="20"/>
        <v>27.589184449518275</v>
      </c>
      <c r="CC15" s="5">
        <f t="shared" si="20"/>
        <v>14.79705386528866</v>
      </c>
      <c r="CE15" s="12">
        <v>30</v>
      </c>
      <c r="CF15" s="12">
        <v>30</v>
      </c>
      <c r="CG15" s="12">
        <v>30</v>
      </c>
      <c r="CH15" s="12">
        <v>30</v>
      </c>
      <c r="CI15" s="82">
        <v>30</v>
      </c>
      <c r="CJ15" s="46"/>
      <c r="CK15" s="46"/>
      <c r="CL15" s="46"/>
      <c r="CM15" s="46"/>
      <c r="CN15" s="46"/>
      <c r="CO15" s="43">
        <f t="shared" ref="CO15:CR16" si="24">CE15*BD15+CT15</f>
        <v>300.24741428592051</v>
      </c>
      <c r="CP15" s="43">
        <f t="shared" si="24"/>
        <v>514.54043598323437</v>
      </c>
      <c r="CQ15" s="43">
        <f t="shared" si="24"/>
        <v>953.74330648108173</v>
      </c>
      <c r="CR15" s="43">
        <f t="shared" si="24"/>
        <v>1778.2593913323358</v>
      </c>
      <c r="CS15" s="7"/>
      <c r="CT15" s="7"/>
      <c r="CU15" s="7"/>
      <c r="CV15" s="7"/>
      <c r="CW15" s="7"/>
      <c r="CX15" s="7"/>
      <c r="CY15" s="41"/>
      <c r="CZ15" s="41"/>
      <c r="DA15" s="41"/>
      <c r="DB15" s="41"/>
      <c r="DC15" s="19"/>
      <c r="DD15" s="40">
        <v>88</v>
      </c>
      <c r="DE15" s="40">
        <v>87.15883154415728</v>
      </c>
      <c r="DF15" s="40">
        <v>85.800988261785719</v>
      </c>
      <c r="DG15" s="40">
        <v>83.530665595435366</v>
      </c>
      <c r="DH15" s="40">
        <v>80.03379354289919</v>
      </c>
      <c r="DI15" s="40">
        <v>1731.1</v>
      </c>
      <c r="DJ15" s="40">
        <v>1731.1</v>
      </c>
      <c r="DK15" s="40">
        <v>1731.1</v>
      </c>
      <c r="DL15" s="40">
        <v>1731.1</v>
      </c>
      <c r="DM15" s="40">
        <v>1731.1</v>
      </c>
      <c r="DN15" s="7"/>
      <c r="DO15" s="7"/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6">
        <f t="shared" ca="1" si="21"/>
        <v>-0.8531090132997593</v>
      </c>
      <c r="DV15" s="6">
        <f ca="1">_xlfn.RRI(DV$2,$H15,CP15+$DP15*$DU$2+SUM($DQ15:DQ15))</f>
        <v>-0.28974368030137398</v>
      </c>
      <c r="DW15" s="6">
        <f ca="1">_xlfn.RRI(DW$2,$H15,CQ15+$DP15*$DU$2+SUM($DQ15:DR15))</f>
        <v>3.3279845351299242E-2</v>
      </c>
      <c r="DX15" s="6">
        <f ca="1">_xlfn.RRI(DX$2,$H15,CR15+$DP15*$DU$2+SUM($DQ15:DS15))</f>
        <v>0.21968402720825631</v>
      </c>
      <c r="DY15" s="132">
        <f>SUM(CO15,$DP15:DP15)/$H15</f>
        <v>0.34231833802978051</v>
      </c>
      <c r="DZ15" s="132">
        <f>SUM(CP15,$DP15:DQ15)/$H15</f>
        <v>0.5866382806786391</v>
      </c>
      <c r="EA15" s="132">
        <f>SUM(CQ15,$DP15:DR15)/$H15</f>
        <v>1.0873826319474196</v>
      </c>
      <c r="EB15" s="132">
        <f>SUM(CR15,$DP15:DS15)/$H15</f>
        <v>2.0274306137639218</v>
      </c>
      <c r="EC15" s="6" cm="1">
        <f t="array" ref="EC15">_xll.BDP(""&amp;$B15&amp;"","CHG_PCT_1M")/100</f>
        <v>-2.9541919999999999E-2</v>
      </c>
      <c r="ED15" s="6" cm="1">
        <f t="array" ref="ED15">_xll.BDP(""&amp;$B15&amp;"","CHG_PCT_3M")/100</f>
        <v>0.5706253</v>
      </c>
      <c r="EE15" s="6" cm="1">
        <f t="array" ref="EE15">_xll.BDP(""&amp;$B15&amp;"","CHG_PCT_6M")/100</f>
        <v>1.560427</v>
      </c>
      <c r="EF15" s="6">
        <f ca="1">_xlfn.RRI(2+$DU$2,$DU$2*S15+(1-$DU$2)*T15,V15)</f>
        <v>0.45237799882071617</v>
      </c>
      <c r="EG15" s="175">
        <f ca="1">EH15-EF15</f>
        <v>0.3051769253781953</v>
      </c>
      <c r="EH15" s="6">
        <f ca="1">_xlfn.RRI(2+$DU$2,$DU$2*(BC15*DD15)+(1-$DU$2)*(BD15*DE15),(BF15*DG15))</f>
        <v>0.75755492419891146</v>
      </c>
      <c r="EI15" s="180">
        <f>AVERAGE(DP15:DT15)/H15</f>
        <v>0</v>
      </c>
      <c r="EJ15" s="180">
        <f ca="1">EL15-EK15</f>
        <v>0.48259760388047845</v>
      </c>
      <c r="EK15" s="180">
        <f ca="1">_xlfn.RRI(2+$DU$2,($DU$2*BY15+(1-$DU$2)*BZ15),CG15)</f>
        <v>-0.44931775852917921</v>
      </c>
      <c r="EL15" s="6">
        <f ca="1">DW15</f>
        <v>3.3279845351299242E-2</v>
      </c>
      <c r="EM15" s="6">
        <f>_xlfn.RRI(3,AK15,AN15)</f>
        <v>0.56894340164690504</v>
      </c>
      <c r="EN15" s="6">
        <f>_xlfn.RRI(3,BC15,BF15)</f>
        <v>0.86124692294380911</v>
      </c>
      <c r="EO15" s="292" cm="1">
        <f t="array" ref="EO15">_xll.BDP(B15,"AVG_DAILY_VALUE_TRADED_3M")/10^6</f>
        <v>5382.0221439999996</v>
      </c>
    </row>
    <row r="16" spans="1:156" x14ac:dyDescent="0.25">
      <c r="B16" s="10" t="s">
        <v>180</v>
      </c>
      <c r="C16" s="10"/>
      <c r="D16" s="38" t="s">
        <v>167</v>
      </c>
      <c r="F16" s="186">
        <v>46119</v>
      </c>
      <c r="G16" s="63"/>
      <c r="H16" s="149">
        <f>_xll.BDP(B16,"Px_Last")</f>
        <v>70.930000000000007</v>
      </c>
      <c r="I16" s="25">
        <v>132</v>
      </c>
      <c r="J16" s="25">
        <v>-1247</v>
      </c>
      <c r="K16" s="3">
        <v>2739</v>
      </c>
      <c r="L16" s="3">
        <v>204</v>
      </c>
      <c r="M16" s="76">
        <f t="shared" si="15"/>
        <v>1492</v>
      </c>
      <c r="N16" s="76">
        <f t="shared" si="16"/>
        <v>11058.76</v>
      </c>
      <c r="O16" s="3">
        <v>6408.9017500000009</v>
      </c>
      <c r="P16" s="3">
        <v>6818.2452500000009</v>
      </c>
      <c r="Q16" s="3">
        <v>7266.9539999999997</v>
      </c>
      <c r="R16" s="3">
        <v>7667.4822750000003</v>
      </c>
      <c r="S16" s="3">
        <v>8060.7957176250002</v>
      </c>
      <c r="T16" s="3">
        <v>8502.0422837017504</v>
      </c>
      <c r="U16" s="3">
        <v>8958.9421199158169</v>
      </c>
      <c r="V16" s="3">
        <v>9426.7832498640491</v>
      </c>
      <c r="W16" s="3">
        <v>9885.9025081444634</v>
      </c>
      <c r="X16" s="65"/>
      <c r="Y16" s="65"/>
      <c r="Z16" s="65"/>
      <c r="AA16" s="65"/>
      <c r="AB16" s="65"/>
      <c r="AC16" s="65"/>
      <c r="AD16" s="65"/>
      <c r="AE16" s="65"/>
      <c r="AF16" s="65"/>
      <c r="AG16" s="240">
        <f t="shared" ref="AG16:AO16" si="25">O16</f>
        <v>6408.9017500000009</v>
      </c>
      <c r="AH16" s="240">
        <f t="shared" si="25"/>
        <v>6818.2452500000009</v>
      </c>
      <c r="AI16" s="240">
        <f t="shared" si="25"/>
        <v>7266.9539999999997</v>
      </c>
      <c r="AJ16" s="240">
        <f t="shared" si="25"/>
        <v>7667.4822750000003</v>
      </c>
      <c r="AK16" s="240">
        <f t="shared" si="25"/>
        <v>8060.7957176250002</v>
      </c>
      <c r="AL16" s="240">
        <f t="shared" si="25"/>
        <v>8502.0422837017504</v>
      </c>
      <c r="AM16" s="240">
        <f t="shared" si="25"/>
        <v>8958.9421199158169</v>
      </c>
      <c r="AN16" s="240">
        <f t="shared" si="25"/>
        <v>9426.7832498640491</v>
      </c>
      <c r="AO16" s="240">
        <f t="shared" si="25"/>
        <v>9885.9025081444634</v>
      </c>
      <c r="AP16" s="11">
        <v>3.4767863081358867</v>
      </c>
      <c r="AQ16" s="11">
        <v>3.9116485530537943</v>
      </c>
      <c r="AR16" s="11">
        <v>4.7066358575304079</v>
      </c>
      <c r="AS16" s="11">
        <v>5.427639005857273</v>
      </c>
      <c r="AT16" s="11">
        <v>6.1165927633035313</v>
      </c>
      <c r="AU16" s="11">
        <v>7.0147240253694889</v>
      </c>
      <c r="AV16" s="11">
        <v>8.2883420796206213</v>
      </c>
      <c r="AW16" s="11">
        <v>9.7389836591645782</v>
      </c>
      <c r="AX16" s="11">
        <v>11.362877168011217</v>
      </c>
      <c r="AY16" s="11">
        <v>3.4767863081358867</v>
      </c>
      <c r="AZ16" s="11">
        <v>3.9116485530537943</v>
      </c>
      <c r="BA16" s="11">
        <v>4.7066358575304079</v>
      </c>
      <c r="BB16" s="11">
        <v>5.427639005857273</v>
      </c>
      <c r="BC16" s="11">
        <v>6.1165927633035313</v>
      </c>
      <c r="BD16" s="11">
        <v>7.0147240253694889</v>
      </c>
      <c r="BE16" s="11">
        <v>8.2883420796206213</v>
      </c>
      <c r="BF16" s="11">
        <v>9.7389836591645782</v>
      </c>
      <c r="BG16" s="11">
        <v>11.362877168011217</v>
      </c>
      <c r="BH16" s="5">
        <f t="shared" ref="BH16:BN16" si="26">$N16/Q16</f>
        <v>1.5217875329883745</v>
      </c>
      <c r="BI16" s="5">
        <f t="shared" si="26"/>
        <v>1.4422935200068656</v>
      </c>
      <c r="BJ16" s="5">
        <f t="shared" si="26"/>
        <v>1.3719191488527522</v>
      </c>
      <c r="BK16" s="5">
        <f t="shared" si="26"/>
        <v>1.300718066434394</v>
      </c>
      <c r="BL16" s="5">
        <f t="shared" si="26"/>
        <v>1.2343823469309247</v>
      </c>
      <c r="BM16" s="5">
        <f t="shared" si="26"/>
        <v>1.1731212765669017</v>
      </c>
      <c r="BN16" s="5">
        <f t="shared" si="26"/>
        <v>1.1186393949251758</v>
      </c>
      <c r="BO16" s="5">
        <f t="shared" ref="BO16:BS18" si="27">$N16/AK16</f>
        <v>1.3719191488527522</v>
      </c>
      <c r="BP16" s="5">
        <f t="shared" si="27"/>
        <v>1.300718066434394</v>
      </c>
      <c r="BQ16" s="5">
        <f t="shared" si="27"/>
        <v>1.2343823469309247</v>
      </c>
      <c r="BR16" s="5">
        <f t="shared" si="27"/>
        <v>1.1731212765669017</v>
      </c>
      <c r="BS16" s="5">
        <f t="shared" si="27"/>
        <v>1.1186393949251758</v>
      </c>
      <c r="BT16" s="5">
        <f t="shared" si="23"/>
        <v>11.59632539631283</v>
      </c>
      <c r="BU16" s="5">
        <f t="shared" si="23"/>
        <v>10.111588102892457</v>
      </c>
      <c r="BV16" s="5">
        <f t="shared" si="23"/>
        <v>8.5578031551572558</v>
      </c>
      <c r="BW16" s="5">
        <f t="shared" si="23"/>
        <v>7.2831008329348066</v>
      </c>
      <c r="BX16" s="5">
        <f t="shared" si="23"/>
        <v>6.2422570402927713</v>
      </c>
      <c r="BY16" s="8">
        <f t="shared" ref="BY16:CC19" si="28">$H16/BC16</f>
        <v>11.59632539631283</v>
      </c>
      <c r="BZ16" s="5">
        <f t="shared" si="28"/>
        <v>10.111588102892457</v>
      </c>
      <c r="CA16" s="5">
        <f t="shared" si="28"/>
        <v>8.5578031551572558</v>
      </c>
      <c r="CB16" s="5">
        <f t="shared" si="28"/>
        <v>7.2831008329348066</v>
      </c>
      <c r="CC16" s="5">
        <f t="shared" si="28"/>
        <v>6.2422570402927713</v>
      </c>
      <c r="CD16" t="s">
        <v>55</v>
      </c>
      <c r="CE16" s="12">
        <v>13</v>
      </c>
      <c r="CF16" s="12">
        <v>13</v>
      </c>
      <c r="CG16" s="167">
        <v>13</v>
      </c>
      <c r="CH16" s="12">
        <v>13</v>
      </c>
      <c r="CI16" s="12">
        <v>13</v>
      </c>
      <c r="CJ16" s="68"/>
      <c r="CK16" s="68"/>
      <c r="CL16" s="68"/>
      <c r="CM16" s="68"/>
      <c r="CN16" s="68"/>
      <c r="CO16" s="43">
        <f t="shared" si="24"/>
        <v>91.191412329803356</v>
      </c>
      <c r="CP16" s="43">
        <f t="shared" si="24"/>
        <v>107.74844703506808</v>
      </c>
      <c r="CQ16" s="43">
        <f t="shared" si="24"/>
        <v>126.60678756913951</v>
      </c>
      <c r="CR16" s="43">
        <f t="shared" si="24"/>
        <v>147.71740318414581</v>
      </c>
      <c r="CS16" s="69"/>
      <c r="CT16" s="69"/>
      <c r="CU16" s="69"/>
      <c r="CV16" s="69"/>
      <c r="CW16" s="69"/>
      <c r="CX16" s="69"/>
      <c r="CY16" s="74"/>
      <c r="CZ16" s="74"/>
      <c r="DA16" s="74"/>
      <c r="DB16" s="74"/>
      <c r="DC16" s="74"/>
      <c r="DD16" s="40">
        <v>130.29734421697768</v>
      </c>
      <c r="DE16" s="40">
        <v>125.77048682112338</v>
      </c>
      <c r="DF16" s="40">
        <v>120.91201658995723</v>
      </c>
      <c r="DG16" s="40">
        <v>116.04658182397571</v>
      </c>
      <c r="DH16" s="40">
        <v>111.21407321091422</v>
      </c>
      <c r="DI16" s="70"/>
      <c r="DJ16" s="70"/>
      <c r="DK16" s="70"/>
      <c r="DL16" s="70"/>
      <c r="DM16" s="70"/>
      <c r="DN16" s="69"/>
      <c r="DO16" s="69"/>
      <c r="DP16" s="7">
        <v>1.24</v>
      </c>
      <c r="DQ16" s="7">
        <v>1.3640000000000001</v>
      </c>
      <c r="DR16" s="7">
        <v>1.5004000000000002</v>
      </c>
      <c r="DS16" s="7">
        <v>1.6504400000000004</v>
      </c>
      <c r="DT16" s="7">
        <v>1.8154840000000005</v>
      </c>
      <c r="DU16" s="78">
        <f ca="1">_xlfn.RRI(Summary!DT$2,$H16,CO16+$DP16*Summary!$DT$2)</f>
        <v>0.5890203184545062</v>
      </c>
      <c r="DV16" s="6">
        <f ca="1">_xlfn.RRI(Summary!DU$2,$H16,CP16+$DP16*Summary!$DT$2+SUM($DQ16:DQ16))</f>
        <v>0.32357453771722011</v>
      </c>
      <c r="DW16" s="6">
        <f ca="1">_xlfn.RRI(Summary!DV$2,$H16,CQ16+$DP16*Summary!$DT$2+SUM($DQ16:DR16))</f>
        <v>0.26775973947252818</v>
      </c>
      <c r="DX16" s="6">
        <f ca="1">_xlfn.RRI(Summary!DW$2,$H16,CR16+$DP16*Summary!$DT$2+SUM($DQ16:DS16))</f>
        <v>0.24093942783095401</v>
      </c>
      <c r="DY16" s="171">
        <f>SUM(CO16,$DP16:DP16)/$H16</f>
        <v>1.3031356595207013</v>
      </c>
      <c r="DZ16" s="132">
        <f>SUM(CP16,$DP16:DQ16)/$H16</f>
        <v>1.5557936985065286</v>
      </c>
      <c r="EA16" s="132">
        <f>SUM(CQ16,$DP16:DR16)/$H16</f>
        <v>1.8428195061206756</v>
      </c>
      <c r="EB16" s="132">
        <f>SUM(CR16,$DP16:DS16)/$H16</f>
        <v>2.1637141291998567</v>
      </c>
      <c r="EC16" s="78" cm="1">
        <f t="array" ref="EC16">_xll.BDP(""&amp;$B16&amp;"","CHG_PCT_1M")/100</f>
        <v>-0.1198659</v>
      </c>
      <c r="ED16" s="6" cm="1">
        <f t="array" ref="ED16">_xll.BDP(""&amp;$B16&amp;"","CHG_PCT_3M")/100</f>
        <v>-0.24590679999999998</v>
      </c>
      <c r="EE16" s="6" cm="1">
        <f t="array" ref="EE16">_xll.BDP(""&amp;$B16&amp;"","CHG_PCT_6M")/100</f>
        <v>-0.30083779999999999</v>
      </c>
      <c r="EF16" s="78">
        <f ca="1">_xlfn.RRI(2+Summary!$DT$2,Summary!$DT$2*S16+(1-Summary!$DT$2)*T16,V16)</f>
        <v>5.3219742857451235E-2</v>
      </c>
      <c r="EG16" s="175">
        <f ca="1">EH16-EF16</f>
        <v>7.2569688400535126E-2</v>
      </c>
      <c r="EH16" s="6">
        <f ca="1">_xlfn.RRI(2+Summary!$DT$2,Summary!$DT$2*(BC16*DD16)+(1-Summary!$DT$2)*(BD16*DE16),(BF16*DG16))</f>
        <v>0.12578943125798636</v>
      </c>
      <c r="EI16" s="6">
        <f ca="1">EJ16-EH16</f>
        <v>7.2278716345018035E-2</v>
      </c>
      <c r="EJ16" s="6">
        <f ca="1">EL16-EK16</f>
        <v>0.1980681476030044</v>
      </c>
      <c r="EK16" s="6">
        <f ca="1">_xlfn.RRI(2+Summary!$DT$2,(Summary!$DT$2*BY16+(1-Summary!$DT$2)*BZ16),CG16)</f>
        <v>6.9691591869523783E-2</v>
      </c>
      <c r="EL16" s="194">
        <f ca="1">DW16</f>
        <v>0.26775973947252818</v>
      </c>
      <c r="EM16" s="6">
        <f>_xlfn.RRI(3,AK16,AN16)</f>
        <v>5.3566295667655695E-2</v>
      </c>
      <c r="EN16" s="194">
        <f>_xlfn.RRI(3,BC16,BF16)</f>
        <v>0.16770916855840001</v>
      </c>
      <c r="EO16" s="163" cm="1">
        <f t="array" ref="EO16">_xll.BDP(B16,"AVG_DAILY_VALUE_TRADED_3M")/10^6</f>
        <v>131.24758399999999</v>
      </c>
      <c r="EY16" s="294">
        <v>26</v>
      </c>
      <c r="EZ16" s="294">
        <v>12</v>
      </c>
    </row>
    <row r="17" spans="1:180" ht="15.75" thickBot="1" x14ac:dyDescent="0.3">
      <c r="B17" s="10" t="s">
        <v>178</v>
      </c>
      <c r="C17" s="10"/>
      <c r="D17" s="48" t="s">
        <v>160</v>
      </c>
      <c r="E17" s="49"/>
      <c r="F17" s="204">
        <v>46119</v>
      </c>
      <c r="G17" s="205"/>
      <c r="H17" s="206" t="str" cm="1">
        <f t="array" aca="1" ref="H17" ca="1">_xll.BQL($B17, "px_last", "dates=" &amp; _xll.BQL.DATE(Summary!$D$2))</f>
        <v>#N/A Connection</v>
      </c>
      <c r="I17" s="51">
        <v>496.4</v>
      </c>
      <c r="J17" s="106">
        <v>-545</v>
      </c>
      <c r="K17" s="51">
        <v>4017</v>
      </c>
      <c r="L17" s="51"/>
      <c r="M17" s="207">
        <f t="shared" si="15"/>
        <v>3472</v>
      </c>
      <c r="N17" s="207" t="e">
        <f t="shared" ca="1" si="16"/>
        <v>#VALUE!</v>
      </c>
      <c r="O17" s="51">
        <v>4411</v>
      </c>
      <c r="P17" s="51">
        <v>4417</v>
      </c>
      <c r="Q17" s="51">
        <v>4439</v>
      </c>
      <c r="R17" s="51">
        <v>4715</v>
      </c>
      <c r="S17" s="51">
        <v>4927.9412244793812</v>
      </c>
      <c r="T17" s="51">
        <v>5131.6866369658464</v>
      </c>
      <c r="U17" s="51">
        <v>5346.4182596904611</v>
      </c>
      <c r="V17" s="51">
        <v>5532.5413428865868</v>
      </c>
      <c r="W17" s="51">
        <v>5740.8347342825655</v>
      </c>
      <c r="X17" s="208">
        <v>0.56631149399229197</v>
      </c>
      <c r="Y17" s="208">
        <v>0.56327824315146025</v>
      </c>
      <c r="Z17" s="208">
        <v>0.54877224600135166</v>
      </c>
      <c r="AA17" s="208">
        <v>0.54634146341463419</v>
      </c>
      <c r="AB17" s="208">
        <v>0.55082065151829518</v>
      </c>
      <c r="AC17" s="208">
        <v>0.55475840896454709</v>
      </c>
      <c r="AD17" s="208">
        <v>0.55858365801924803</v>
      </c>
      <c r="AE17" s="208">
        <v>0.5616590424347383</v>
      </c>
      <c r="AF17" s="208">
        <v>0.56486429715850739</v>
      </c>
      <c r="AG17" s="209">
        <f t="shared" ref="AG17:AO19" si="29">X17*O17</f>
        <v>2498</v>
      </c>
      <c r="AH17" s="209">
        <f t="shared" si="29"/>
        <v>2488</v>
      </c>
      <c r="AI17" s="209">
        <f t="shared" si="29"/>
        <v>2436</v>
      </c>
      <c r="AJ17" s="209">
        <f t="shared" si="29"/>
        <v>2576</v>
      </c>
      <c r="AK17" s="209">
        <f t="shared" si="29"/>
        <v>2714.4117959115979</v>
      </c>
      <c r="AL17" s="209">
        <f t="shared" si="29"/>
        <v>2846.8463140278004</v>
      </c>
      <c r="AM17" s="209">
        <f t="shared" si="29"/>
        <v>2986.4218687987996</v>
      </c>
      <c r="AN17" s="209">
        <f t="shared" si="29"/>
        <v>3107.4018728762812</v>
      </c>
      <c r="AO17" s="209">
        <f t="shared" si="29"/>
        <v>3242.7925772836679</v>
      </c>
      <c r="AP17" s="53">
        <v>1.1052417716375458</v>
      </c>
      <c r="AQ17" s="53">
        <v>0.8892039700222808</v>
      </c>
      <c r="AR17" s="53">
        <v>0.90890810376030562</v>
      </c>
      <c r="AS17" s="53">
        <v>0.95286059629331188</v>
      </c>
      <c r="AT17" s="53">
        <v>0.96664992084764612</v>
      </c>
      <c r="AU17" s="53">
        <v>1.0613910521495833</v>
      </c>
      <c r="AV17" s="53">
        <v>1.2632439749083337</v>
      </c>
      <c r="AW17" s="53">
        <v>1.4215989122221164</v>
      </c>
      <c r="AX17" s="53">
        <v>1.5908988890600784</v>
      </c>
      <c r="AY17" s="210">
        <f t="shared" ref="AY17:BG19" si="30">AP17</f>
        <v>1.1052417716375458</v>
      </c>
      <c r="AZ17" s="210">
        <f t="shared" si="30"/>
        <v>0.8892039700222808</v>
      </c>
      <c r="BA17" s="210">
        <f t="shared" si="30"/>
        <v>0.90890810376030562</v>
      </c>
      <c r="BB17" s="210">
        <f t="shared" si="30"/>
        <v>0.95286059629331188</v>
      </c>
      <c r="BC17" s="210">
        <f t="shared" si="30"/>
        <v>0.96664992084764612</v>
      </c>
      <c r="BD17" s="210">
        <f t="shared" si="30"/>
        <v>1.0613910521495833</v>
      </c>
      <c r="BE17" s="210">
        <f t="shared" si="30"/>
        <v>1.2632439749083337</v>
      </c>
      <c r="BF17" s="210">
        <f t="shared" si="30"/>
        <v>1.4215989122221164</v>
      </c>
      <c r="BG17" s="210">
        <f t="shared" si="30"/>
        <v>1.5908988890600784</v>
      </c>
      <c r="BH17" s="55" t="e">
        <f t="shared" ref="BH17:BN19" ca="1" si="31">$N17/Q17</f>
        <v>#VALUE!</v>
      </c>
      <c r="BI17" s="55" t="e">
        <f t="shared" ca="1" si="31"/>
        <v>#VALUE!</v>
      </c>
      <c r="BJ17" s="55" t="e">
        <f t="shared" ca="1" si="31"/>
        <v>#VALUE!</v>
      </c>
      <c r="BK17" s="55" t="e">
        <f t="shared" ca="1" si="31"/>
        <v>#VALUE!</v>
      </c>
      <c r="BL17" s="55" t="e">
        <f t="shared" ca="1" si="31"/>
        <v>#VALUE!</v>
      </c>
      <c r="BM17" s="55" t="e">
        <f t="shared" ca="1" si="31"/>
        <v>#VALUE!</v>
      </c>
      <c r="BN17" s="55" t="e">
        <f t="shared" ca="1" si="31"/>
        <v>#VALUE!</v>
      </c>
      <c r="BO17" s="55" t="e">
        <f t="shared" ca="1" si="27"/>
        <v>#VALUE!</v>
      </c>
      <c r="BP17" s="55" t="e">
        <f t="shared" ca="1" si="27"/>
        <v>#VALUE!</v>
      </c>
      <c r="BQ17" s="55" t="e">
        <f t="shared" ca="1" si="27"/>
        <v>#VALUE!</v>
      </c>
      <c r="BR17" s="55" t="e">
        <f t="shared" ca="1" si="27"/>
        <v>#VALUE!</v>
      </c>
      <c r="BS17" s="55" t="e">
        <f t="shared" ca="1" si="27"/>
        <v>#VALUE!</v>
      </c>
      <c r="BT17" s="55" t="e">
        <f t="shared" ref="BT17:BX19" ca="1" si="32">$H17/AT17</f>
        <v>#VALUE!</v>
      </c>
      <c r="BU17" s="55" t="e">
        <f t="shared" ca="1" si="32"/>
        <v>#VALUE!</v>
      </c>
      <c r="BV17" s="55" t="e">
        <f t="shared" ca="1" si="32"/>
        <v>#VALUE!</v>
      </c>
      <c r="BW17" s="55" t="e">
        <f t="shared" ca="1" si="32"/>
        <v>#VALUE!</v>
      </c>
      <c r="BX17" s="55" t="e">
        <f t="shared" ca="1" si="32"/>
        <v>#VALUE!</v>
      </c>
      <c r="BY17" s="187" t="e">
        <f t="shared" ca="1" si="28"/>
        <v>#VALUE!</v>
      </c>
      <c r="BZ17" s="55" t="e">
        <f t="shared" ca="1" si="28"/>
        <v>#VALUE!</v>
      </c>
      <c r="CA17" s="55" t="e">
        <f t="shared" ca="1" si="28"/>
        <v>#VALUE!</v>
      </c>
      <c r="CB17" s="55" t="e">
        <f t="shared" ca="1" si="28"/>
        <v>#VALUE!</v>
      </c>
      <c r="CC17" s="55" t="e">
        <f t="shared" ca="1" si="28"/>
        <v>#VALUE!</v>
      </c>
      <c r="CD17" s="49"/>
      <c r="CE17" s="56">
        <v>20</v>
      </c>
      <c r="CF17" s="56">
        <f>CE17</f>
        <v>20</v>
      </c>
      <c r="CG17" s="170">
        <f>CF17</f>
        <v>20</v>
      </c>
      <c r="CH17" s="56">
        <f>CG17</f>
        <v>20</v>
      </c>
      <c r="CI17" s="211">
        <f>CH17</f>
        <v>20</v>
      </c>
      <c r="CJ17" s="107"/>
      <c r="CK17" s="107"/>
      <c r="CL17" s="107"/>
      <c r="CM17" s="107"/>
      <c r="CN17" s="107"/>
      <c r="CO17" s="212">
        <f>CE17*BD17+CT17</f>
        <v>21.227821042991664</v>
      </c>
      <c r="CP17" s="212">
        <f>CF17*BE17+CU17</f>
        <v>25.264879498166675</v>
      </c>
      <c r="CQ17" s="212">
        <f>CG17*BF17+CV17</f>
        <v>28.431978244442327</v>
      </c>
      <c r="CR17" s="212">
        <f>CH17*BG17+CW17</f>
        <v>31.817977781201567</v>
      </c>
      <c r="CS17" s="57"/>
      <c r="CT17" s="57"/>
      <c r="CU17" s="57"/>
      <c r="CV17" s="57"/>
      <c r="CW17" s="57"/>
      <c r="CX17" s="57"/>
      <c r="CY17" s="109"/>
      <c r="CZ17" s="109"/>
      <c r="DA17" s="109"/>
      <c r="DB17" s="109"/>
      <c r="DC17" s="108"/>
      <c r="DD17" s="110">
        <v>508</v>
      </c>
      <c r="DE17" s="110">
        <v>508</v>
      </c>
      <c r="DF17" s="110">
        <v>489.80407451855831</v>
      </c>
      <c r="DG17" s="110">
        <v>469.28736340228733</v>
      </c>
      <c r="DH17" s="110">
        <v>449.94294142592264</v>
      </c>
      <c r="DI17" s="110">
        <v>3020.9418402093957</v>
      </c>
      <c r="DJ17" s="110">
        <v>2525.2876041942923</v>
      </c>
      <c r="DK17" s="110">
        <v>2562.4813277546377</v>
      </c>
      <c r="DL17" s="110">
        <v>2734.040286720141</v>
      </c>
      <c r="DM17" s="110">
        <v>2926.2179993320869</v>
      </c>
      <c r="DN17" s="57"/>
      <c r="DO17" s="57"/>
      <c r="DP17" s="57">
        <v>0</v>
      </c>
      <c r="DQ17" s="57">
        <v>0</v>
      </c>
      <c r="DR17" s="57">
        <v>0</v>
      </c>
      <c r="DS17" s="57">
        <v>0</v>
      </c>
      <c r="DT17" s="57">
        <v>0</v>
      </c>
      <c r="DU17" s="79" t="e">
        <f ca="1">_xlfn.RRI(Summary!DT$2,$H17,CO17+$DP17*Summary!$DT$2)</f>
        <v>#VALUE!</v>
      </c>
      <c r="DV17" s="79" t="e">
        <f ca="1">_xlfn.RRI(Summary!DU$2,$H17,CP17+$DP17*Summary!$DT$2+SUM($DQ17:DQ17))</f>
        <v>#VALUE!</v>
      </c>
      <c r="DW17" s="58" t="e">
        <f ca="1">_xlfn.RRI(Summary!DV$2,$H17,CQ17+$DP17*Summary!$DT$2+SUM($DQ17:DR17))</f>
        <v>#VALUE!</v>
      </c>
      <c r="DX17" s="58" t="e">
        <f ca="1">_xlfn.RRI(Summary!DW$2,$H17,CR17+$DP17*Summary!$DT$2+SUM($DQ17:DS17))</f>
        <v>#VALUE!</v>
      </c>
      <c r="DY17" s="213" t="e">
        <f ca="1">SUM(CO17,$DP17:DP17)/$H17</f>
        <v>#VALUE!</v>
      </c>
      <c r="DZ17" s="214" t="e">
        <f ca="1">SUM(CP17,$DP17:DQ17)/$H17</f>
        <v>#VALUE!</v>
      </c>
      <c r="EA17" s="214" t="e">
        <f ca="1">SUM(CQ17,$DP17:DR17)/$H17</f>
        <v>#VALUE!</v>
      </c>
      <c r="EB17" s="214" t="e">
        <f ca="1">SUM(CR17,$DP17:DS17)/$H17</f>
        <v>#VALUE!</v>
      </c>
      <c r="EC17" s="79" cm="1">
        <f t="array" ref="EC17">_xll.BDP(""&amp;$B17&amp;"","CHG_PCT_1M")/100</f>
        <v>-8.0338110000000001E-3</v>
      </c>
      <c r="ED17" s="58" cm="1">
        <f t="array" ref="ED17">_xll.BDP(""&amp;$B17&amp;"","CHG_PCT_3M")/100</f>
        <v>4.2807959999999999E-3</v>
      </c>
      <c r="EE17" s="196" cm="1">
        <f t="array" ref="EE17">_xll.BDP(""&amp;$B17&amp;"","CHG_PCT_6M")/100</f>
        <v>8.1604399999999994E-2</v>
      </c>
      <c r="EF17" s="368">
        <f ca="1">_xlfn.RRI(2+Summary!$DT$2,Summary!$DT$2*S17+(1-Summary!$DT$2)*T17,V17)</f>
        <v>3.8899637701802492E-2</v>
      </c>
      <c r="EG17" s="215">
        <f ca="1">EH17-EF17</f>
        <v>6.9827681198478375E-2</v>
      </c>
      <c r="EH17" s="368">
        <f ca="1">_xlfn.RRI(2+Summary!$DT$2,Summary!$DT$2*(BC17*DD17)+(1-Summary!$DT$2)*(BD17*DE17),(BF17*DG17))</f>
        <v>0.10872731890028087</v>
      </c>
      <c r="EI17" s="58">
        <f ca="1">EJ17-EH17</f>
        <v>3.488207868880111E-2</v>
      </c>
      <c r="EJ17" s="368">
        <f ca="1">FW17+FV17</f>
        <v>0.14360939758908198</v>
      </c>
      <c r="EK17" s="58" t="e">
        <f ca="1">EL17-EJ17</f>
        <v>#VALUE!</v>
      </c>
      <c r="EL17" s="369" t="e">
        <f ca="1">DW17</f>
        <v>#VALUE!</v>
      </c>
      <c r="EM17" s="58">
        <f>_xlfn.RRI(3,AK17,AN17)</f>
        <v>4.6101672411908101E-2</v>
      </c>
      <c r="EN17" s="196">
        <f>_xlfn.RRI(3,BC17,BF17)</f>
        <v>0.13719765182926014</v>
      </c>
      <c r="EO17" s="165" cm="1">
        <f t="array" ref="EO17">_xll.BDP(B17,"AVG_DAILY_VALUE_TRADED_3M")/10^6</f>
        <v>139.37830400000001</v>
      </c>
      <c r="EP17" s="292"/>
      <c r="EQ17" s="292"/>
      <c r="ER17" s="292"/>
      <c r="ES17" s="292"/>
      <c r="ET17" s="292"/>
      <c r="EU17" s="292"/>
      <c r="EV17" s="292"/>
      <c r="EW17" s="292"/>
      <c r="EX17" s="296">
        <v>0.2</v>
      </c>
      <c r="EY17" s="296">
        <v>-0.25</v>
      </c>
      <c r="EZ17" s="295">
        <f>EX17-EY17</f>
        <v>0.45</v>
      </c>
      <c r="FA17" s="298">
        <f>FL17/CG17-1</f>
        <v>0.19999999999999996</v>
      </c>
      <c r="FB17" s="298">
        <f>FM17/CG17-1</f>
        <v>-0.25</v>
      </c>
      <c r="FC17" s="295">
        <f>FA17-FB17</f>
        <v>0.44999999999999996</v>
      </c>
      <c r="FD17" s="15">
        <f>EX17+EY17</f>
        <v>-4.9999999999999989E-2</v>
      </c>
      <c r="FE17" s="15">
        <f>FB17+FA17</f>
        <v>-5.0000000000000044E-2</v>
      </c>
      <c r="FF17" s="15" t="e">
        <f ca="1">EL17+EX17/3+FA17/3</f>
        <v>#VALUE!</v>
      </c>
      <c r="FG17" s="15" t="e">
        <f ca="1">EL17+EY17/3+FB17/3</f>
        <v>#VALUE!</v>
      </c>
      <c r="FH17" s="300" t="e">
        <f ca="1">EL17+FD17/3+FE17/3</f>
        <v>#VALUE!</v>
      </c>
      <c r="FI17" s="15" t="e">
        <f ca="1">EL17</f>
        <v>#VALUE!</v>
      </c>
      <c r="FJ17" s="300" t="e">
        <f ca="1">FH17-FI17</f>
        <v>#VALUE!</v>
      </c>
      <c r="FK17" s="15" t="e">
        <f ca="1">FF17-FG17</f>
        <v>#VALUE!</v>
      </c>
      <c r="FL17" s="294">
        <v>24</v>
      </c>
      <c r="FM17" s="294">
        <v>15</v>
      </c>
      <c r="FV17" s="361">
        <f ca="1">IFERROR(AVERAGE(DQ17:DR17)/H17,0)</f>
        <v>0</v>
      </c>
      <c r="FW17" s="361">
        <f ca="1">_xlfn.RRI(2+Summary!$DT$2,Summary!$DT$2*(BC17)+(1-Summary!$DT$2)*(BD17),(BF17))</f>
        <v>0.14360939758908198</v>
      </c>
      <c r="FX17" s="127">
        <f ca="1">FW17-EH17+FV17</f>
        <v>3.488207868880111E-2</v>
      </c>
    </row>
    <row r="18" spans="1:180" x14ac:dyDescent="0.25">
      <c r="B18" s="10" t="s">
        <v>235</v>
      </c>
      <c r="C18" s="10"/>
      <c r="D18" s="38" t="s">
        <v>236</v>
      </c>
      <c r="F18" s="186">
        <v>46132</v>
      </c>
      <c r="G18" s="147"/>
      <c r="H18" s="322" t="str" cm="1">
        <f t="array" aca="1" ref="H18" ca="1">_xll.BQL($B18, "px_last", "dates=" &amp; _xll.BQL.DATE(Summary!$D$2))</f>
        <v>#N/A Connection</v>
      </c>
      <c r="I18" s="25">
        <v>1131.076251</v>
      </c>
      <c r="J18" s="59">
        <v>-5598</v>
      </c>
      <c r="K18" s="312">
        <v>86282</v>
      </c>
      <c r="L18" s="2"/>
      <c r="M18" s="80">
        <f t="shared" si="15"/>
        <v>80684</v>
      </c>
      <c r="N18" s="184" t="e">
        <f t="shared" ca="1" si="16"/>
        <v>#VALUE!</v>
      </c>
      <c r="O18" s="3">
        <v>79571</v>
      </c>
      <c r="P18" s="3">
        <v>78558</v>
      </c>
      <c r="Q18" s="3">
        <v>81400</v>
      </c>
      <c r="R18" s="3">
        <v>88309</v>
      </c>
      <c r="S18" s="3">
        <v>94355.584120327156</v>
      </c>
      <c r="T18" s="3">
        <v>98069.695081851125</v>
      </c>
      <c r="U18" s="3">
        <v>101569.88548336367</v>
      </c>
      <c r="V18" s="3">
        <v>104890.67820740397</v>
      </c>
      <c r="W18" s="3">
        <v>108046.53148465685</v>
      </c>
      <c r="X18" s="21">
        <v>0.54498498196579159</v>
      </c>
      <c r="Y18" s="21">
        <v>0.61572341454721358</v>
      </c>
      <c r="Z18" s="21">
        <v>0.63571253071253075</v>
      </c>
      <c r="AA18" s="21">
        <v>0.62887134946607937</v>
      </c>
      <c r="AB18" s="4">
        <f>AA18</f>
        <v>0.62887134946607937</v>
      </c>
      <c r="AC18" s="4">
        <f>AB18</f>
        <v>0.62887134946607937</v>
      </c>
      <c r="AD18" s="4">
        <f>AC18</f>
        <v>0.62887134946607937</v>
      </c>
      <c r="AE18" s="4">
        <f>AD18</f>
        <v>0.62887134946607937</v>
      </c>
      <c r="AF18" s="4">
        <f>AE18</f>
        <v>0.62887134946607937</v>
      </c>
      <c r="AG18" s="144">
        <f t="shared" si="29"/>
        <v>43365</v>
      </c>
      <c r="AH18" s="144">
        <f t="shared" si="29"/>
        <v>48370.000000000007</v>
      </c>
      <c r="AI18" s="144">
        <f t="shared" si="29"/>
        <v>51747</v>
      </c>
      <c r="AJ18" s="144">
        <f t="shared" si="29"/>
        <v>55535</v>
      </c>
      <c r="AK18" s="144">
        <f t="shared" si="29"/>
        <v>59337.523515410307</v>
      </c>
      <c r="AL18" s="144">
        <f t="shared" si="29"/>
        <v>61673.221487850642</v>
      </c>
      <c r="AM18" s="144">
        <f t="shared" si="29"/>
        <v>63874.390949038061</v>
      </c>
      <c r="AN18" s="144">
        <f t="shared" si="29"/>
        <v>65962.742350702421</v>
      </c>
      <c r="AO18" s="144">
        <f t="shared" si="29"/>
        <v>67947.368059885383</v>
      </c>
      <c r="AP18" s="148">
        <v>2.0631256400125402</v>
      </c>
      <c r="AQ18" s="148">
        <v>6.9291803542625559</v>
      </c>
      <c r="AR18" s="148">
        <v>9.6649042594277219</v>
      </c>
      <c r="AS18" s="148">
        <v>9.7181777004705232</v>
      </c>
      <c r="AT18" s="148">
        <v>10.704513046505696</v>
      </c>
      <c r="AU18" s="148">
        <v>13.952147880206965</v>
      </c>
      <c r="AV18" s="148">
        <v>17.235096073707918</v>
      </c>
      <c r="AW18" s="11">
        <v>19.825026236400124</v>
      </c>
      <c r="AX18" s="11">
        <v>23.030980009730381</v>
      </c>
      <c r="AY18" s="145">
        <f t="shared" si="30"/>
        <v>2.0631256400125402</v>
      </c>
      <c r="AZ18" s="145">
        <f t="shared" si="30"/>
        <v>6.9291803542625559</v>
      </c>
      <c r="BA18" s="145">
        <f t="shared" si="30"/>
        <v>9.6649042594277219</v>
      </c>
      <c r="BB18" s="145">
        <f t="shared" si="30"/>
        <v>9.7181777004705232</v>
      </c>
      <c r="BC18" s="145">
        <f t="shared" si="30"/>
        <v>10.704513046505696</v>
      </c>
      <c r="BD18" s="145">
        <f t="shared" si="30"/>
        <v>13.952147880206965</v>
      </c>
      <c r="BE18" s="145">
        <f t="shared" si="30"/>
        <v>17.235096073707918</v>
      </c>
      <c r="BF18" s="145">
        <f t="shared" si="30"/>
        <v>19.825026236400124</v>
      </c>
      <c r="BG18" s="145">
        <f t="shared" si="30"/>
        <v>23.030980009730381</v>
      </c>
      <c r="BH18" s="5" t="e">
        <f t="shared" ca="1" si="31"/>
        <v>#VALUE!</v>
      </c>
      <c r="BI18" s="5" t="e">
        <f t="shared" ca="1" si="31"/>
        <v>#VALUE!</v>
      </c>
      <c r="BJ18" s="5" t="e">
        <f t="shared" ca="1" si="31"/>
        <v>#VALUE!</v>
      </c>
      <c r="BK18" s="5" t="e">
        <f t="shared" ca="1" si="31"/>
        <v>#VALUE!</v>
      </c>
      <c r="BL18" s="5" t="e">
        <f t="shared" ca="1" si="31"/>
        <v>#VALUE!</v>
      </c>
      <c r="BM18" s="5" t="e">
        <f t="shared" ca="1" si="31"/>
        <v>#VALUE!</v>
      </c>
      <c r="BN18" s="5" t="e">
        <f t="shared" ca="1" si="31"/>
        <v>#VALUE!</v>
      </c>
      <c r="BO18" s="228" t="e">
        <f t="shared" ca="1" si="27"/>
        <v>#VALUE!</v>
      </c>
      <c r="BP18" s="5" t="e">
        <f t="shared" ca="1" si="27"/>
        <v>#VALUE!</v>
      </c>
      <c r="BQ18" s="5" t="e">
        <f t="shared" ca="1" si="27"/>
        <v>#VALUE!</v>
      </c>
      <c r="BR18" s="5" t="e">
        <f t="shared" ca="1" si="27"/>
        <v>#VALUE!</v>
      </c>
      <c r="BS18" s="5" t="e">
        <f t="shared" ca="1" si="27"/>
        <v>#VALUE!</v>
      </c>
      <c r="BT18" s="5" t="e">
        <f t="shared" ca="1" si="32"/>
        <v>#VALUE!</v>
      </c>
      <c r="BU18" s="5" t="e">
        <f t="shared" ca="1" si="32"/>
        <v>#VALUE!</v>
      </c>
      <c r="BV18" s="5" t="e">
        <f t="shared" ca="1" si="32"/>
        <v>#VALUE!</v>
      </c>
      <c r="BW18" s="5" t="e">
        <f t="shared" ca="1" si="32"/>
        <v>#VALUE!</v>
      </c>
      <c r="BX18" s="5" t="e">
        <f t="shared" ca="1" si="32"/>
        <v>#VALUE!</v>
      </c>
      <c r="BY18" s="8" t="e">
        <f t="shared" ca="1" si="28"/>
        <v>#VALUE!</v>
      </c>
      <c r="BZ18" s="5" t="e">
        <f t="shared" ca="1" si="28"/>
        <v>#VALUE!</v>
      </c>
      <c r="CA18" s="5" t="e">
        <f t="shared" ca="1" si="28"/>
        <v>#VALUE!</v>
      </c>
      <c r="CB18" s="5" t="e">
        <f t="shared" ca="1" si="28"/>
        <v>#VALUE!</v>
      </c>
      <c r="CC18" s="5" t="e">
        <f t="shared" ca="1" si="28"/>
        <v>#VALUE!</v>
      </c>
      <c r="CE18" s="12">
        <v>14</v>
      </c>
      <c r="CF18" s="12">
        <v>14</v>
      </c>
      <c r="CG18" s="167">
        <v>14</v>
      </c>
      <c r="CH18" s="12">
        <v>14</v>
      </c>
      <c r="CI18" s="132">
        <f>CH18</f>
        <v>14</v>
      </c>
      <c r="CJ18" s="46"/>
      <c r="CK18" s="46"/>
      <c r="CL18" s="46"/>
      <c r="CM18" s="46"/>
      <c r="CN18" s="46"/>
      <c r="CO18" s="136">
        <f>CE18*BD18</f>
        <v>195.33007032289751</v>
      </c>
      <c r="CP18" s="136">
        <f>CF18*BE18</f>
        <v>241.29134503191085</v>
      </c>
      <c r="CQ18" s="136">
        <f>CG18*BF18</f>
        <v>277.55036730960171</v>
      </c>
      <c r="CR18" s="136">
        <f>CH18*BG18</f>
        <v>322.43372013622536</v>
      </c>
      <c r="CS18" s="7"/>
      <c r="CT18" s="7"/>
      <c r="CU18" s="7"/>
      <c r="CV18" s="7"/>
      <c r="CW18" s="7"/>
      <c r="CX18" s="7"/>
      <c r="CY18" s="137"/>
      <c r="CZ18" s="137"/>
      <c r="DA18" s="137"/>
      <c r="DB18" s="137"/>
      <c r="DC18" s="101"/>
      <c r="DD18" s="185">
        <v>1072.2163669539716</v>
      </c>
      <c r="DE18" s="185">
        <v>1009.7892172081839</v>
      </c>
      <c r="DF18" s="185">
        <v>948.9835518713777</v>
      </c>
      <c r="DG18" s="185">
        <v>890.02048245386868</v>
      </c>
      <c r="DH18" s="185">
        <v>836.41769207431503</v>
      </c>
      <c r="DI18" s="40"/>
      <c r="DJ18" s="40"/>
      <c r="DK18" s="40"/>
      <c r="DL18" s="40"/>
      <c r="DM18" s="40"/>
      <c r="DN18" s="7"/>
      <c r="DO18" s="7"/>
      <c r="DP18" s="7">
        <v>4.1921999999999997</v>
      </c>
      <c r="DQ18" s="7">
        <v>4.6533420000000003</v>
      </c>
      <c r="DR18" s="7">
        <v>5.1652096200000015</v>
      </c>
      <c r="DS18" s="7">
        <v>5.7333826782000017</v>
      </c>
      <c r="DT18" s="7">
        <v>6.3640547728020014</v>
      </c>
      <c r="DU18" s="78" t="e">
        <f ca="1">_xlfn.RRI(Summary!DT$2,$H18,CO18+$DP18*Summary!$DT$2)</f>
        <v>#VALUE!</v>
      </c>
      <c r="DV18" s="78" t="e">
        <f ca="1">_xlfn.RRI(Summary!DU$2,$H18,CP18+$DP18*Summary!$DT$2+SUM($DQ18:DQ18))</f>
        <v>#VALUE!</v>
      </c>
      <c r="DW18" s="6" t="e">
        <f ca="1">_xlfn.RRI(Summary!DV$2,$H18,CQ18+$DP18*Summary!$DT$2+SUM($DQ18:DR18))</f>
        <v>#VALUE!</v>
      </c>
      <c r="DX18" s="6" t="e">
        <f ca="1">_xlfn.RRI(Summary!DW$2,$H18,CR18+$DP18*Summary!$DT$2+SUM($DQ18:DS18))</f>
        <v>#VALUE!</v>
      </c>
      <c r="DY18" s="172" t="e">
        <f ca="1">SUM(CO18,$DP18:DP18)/$H18</f>
        <v>#VALUE!</v>
      </c>
      <c r="DZ18" s="138" t="e">
        <f ca="1">SUM(CP18,$DP18:DQ18)/$H18</f>
        <v>#VALUE!</v>
      </c>
      <c r="EA18" s="138" t="e">
        <f ca="1">SUM(CQ18,$DP18:DR18)/$H18</f>
        <v>#VALUE!</v>
      </c>
      <c r="EB18" s="138" t="e">
        <f ca="1">SUM(CR18,$DP18:DS18)/$H18</f>
        <v>#VALUE!</v>
      </c>
      <c r="EC18" s="78" cm="1">
        <f t="array" ref="EC18">_xll.BDP(""&amp;$B18&amp;"","CHG_PCT_1M")/100</f>
        <v>-7.635699E-2</v>
      </c>
      <c r="ED18" s="6" cm="1">
        <f t="array" ref="ED18">_xll.BDP(""&amp;$B18&amp;"","CHG_PCT_3M")/100</f>
        <v>-0.19282849999999999</v>
      </c>
      <c r="EE18" s="194" cm="1">
        <f t="array" ref="EE18">_xll.BDP(""&amp;$B18&amp;"","CHG_PCT_6M")/100</f>
        <v>-0.12519569999999999</v>
      </c>
      <c r="EF18" s="363">
        <f ca="1">_xlfn.RRI(2+Summary!$DT$2,Summary!$DT$2*S18+(1-Summary!$DT$2)*T18,V18)</f>
        <v>3.5244503174579167E-2</v>
      </c>
      <c r="EG18" s="175">
        <f ca="1">EH18-EF18</f>
        <v>0.10436505954057118</v>
      </c>
      <c r="EH18" s="363">
        <f ca="1">_xlfn.RRI(2+Summary!$DT$2,Summary!$DT$2*(BC18*DD18)+(1-Summary!$DT$2)*(BD18*DE18),(BF18*DG18))</f>
        <v>0.13960956271515035</v>
      </c>
      <c r="EI18" s="6">
        <f ca="1">EJ18-EH18</f>
        <v>7.1764702277739678E-2</v>
      </c>
      <c r="EJ18" s="363">
        <f ca="1">FW18+FV18</f>
        <v>0.21137426499289003</v>
      </c>
      <c r="EK18" s="6" t="e">
        <f ca="1">EL18-EJ18</f>
        <v>#VALUE!</v>
      </c>
      <c r="EL18" s="367" t="e">
        <f ca="1">DW18</f>
        <v>#VALUE!</v>
      </c>
      <c r="EM18" s="6">
        <f>_xlfn.RRI(3,AK18,AN18)</f>
        <v>3.5912551858974018E-2</v>
      </c>
      <c r="EN18" s="194">
        <f>_xlfn.RRI(3,BC18,BF18)</f>
        <v>0.22804878087590041</v>
      </c>
      <c r="EO18" s="163" cm="1">
        <f t="array" ref="EO18">_xll.BDP(B18,"AVG_DAILY_VALUE_TRADED_3M")/10^6</f>
        <v>1096.89472</v>
      </c>
      <c r="EP18" s="292"/>
      <c r="EQ18" s="292"/>
      <c r="ER18" s="292"/>
      <c r="ES18" s="292"/>
      <c r="ET18" s="292"/>
      <c r="EU18" s="292"/>
      <c r="EV18" s="292"/>
      <c r="EW18" s="292"/>
      <c r="EX18" s="314"/>
      <c r="EY18" s="314"/>
      <c r="EZ18" s="295">
        <f>EX18-EY18</f>
        <v>0</v>
      </c>
      <c r="FA18" s="298">
        <f>FL18/CG18-1</f>
        <v>-1</v>
      </c>
      <c r="FB18" s="298">
        <f>FM18/CG18-1</f>
        <v>-1</v>
      </c>
      <c r="FC18" s="295">
        <f>FA18-FB18</f>
        <v>0</v>
      </c>
      <c r="FD18" s="15">
        <f>EX18+EY18</f>
        <v>0</v>
      </c>
      <c r="FE18" s="15">
        <f>FB18+FA18</f>
        <v>-2</v>
      </c>
      <c r="FF18" s="15" t="e">
        <f ca="1">EL18+EX18/3+FA18/3</f>
        <v>#VALUE!</v>
      </c>
      <c r="FG18" s="15" t="e">
        <f ca="1">EL18+EY18/3+FB18/3</f>
        <v>#VALUE!</v>
      </c>
      <c r="FH18" s="300" t="e">
        <f ca="1">EL18+FD18/3+FE18/3</f>
        <v>#VALUE!</v>
      </c>
      <c r="FI18" s="15" t="e">
        <f ca="1">EL18</f>
        <v>#VALUE!</v>
      </c>
      <c r="FJ18" s="300" t="e">
        <f ca="1">FH18-FI18</f>
        <v>#VALUE!</v>
      </c>
      <c r="FK18" s="15" t="e">
        <f ca="1">FF18-FG18</f>
        <v>#VALUE!</v>
      </c>
      <c r="FL18" s="315"/>
      <c r="FM18" s="315"/>
      <c r="FV18" s="361">
        <f ca="1">IFERROR(AVERAGE(DQ18:DR18)/H18,0)</f>
        <v>0</v>
      </c>
      <c r="FW18" s="361">
        <f ca="1">_xlfn.RRI(2+Summary!$DT$2,Summary!$DT$2*(BC18)+(1-Summary!$DT$2)*(BD18),(BF18))</f>
        <v>0.21137426499289003</v>
      </c>
      <c r="FX18" s="127">
        <f ca="1">FW18-EH18+FV18</f>
        <v>7.1764702277739678E-2</v>
      </c>
    </row>
    <row r="19" spans="1:180" outlineLevel="1" x14ac:dyDescent="0.25">
      <c r="A19" t="s">
        <v>98</v>
      </c>
      <c r="B19" s="10" t="s">
        <v>172</v>
      </c>
      <c r="C19" s="10"/>
      <c r="D19" s="38" t="s">
        <v>154</v>
      </c>
      <c r="F19" s="186">
        <v>46119</v>
      </c>
      <c r="G19" s="147"/>
      <c r="H19" s="149" t="str" cm="1">
        <f t="array" aca="1" ref="H19" ca="1">_xll.BQL($B19, "px_last", "dates=" &amp; _xll.BQL.DATE(Summary!$D$2))</f>
        <v>#N/A Connection</v>
      </c>
      <c r="I19" s="3">
        <v>102.41846153846154</v>
      </c>
      <c r="J19" s="25"/>
      <c r="K19" s="3"/>
      <c r="L19" s="3"/>
      <c r="M19" s="76">
        <f t="shared" si="15"/>
        <v>0</v>
      </c>
      <c r="N19" s="76" t="e">
        <f t="shared" ca="1" si="16"/>
        <v>#VALUE!</v>
      </c>
      <c r="O19" s="3">
        <v>7605.2</v>
      </c>
      <c r="P19" s="3">
        <v>6003.5</v>
      </c>
      <c r="Q19" s="3">
        <v>6128.0999999999995</v>
      </c>
      <c r="R19" s="3">
        <v>7258.8974222062625</v>
      </c>
      <c r="S19" s="3">
        <v>7689.6270756913873</v>
      </c>
      <c r="T19" s="3">
        <v>7993.298430467712</v>
      </c>
      <c r="U19" s="3">
        <v>8492.3679671957525</v>
      </c>
      <c r="V19" s="3">
        <v>8982.1429164431665</v>
      </c>
      <c r="W19" s="3">
        <v>9453.4705277119374</v>
      </c>
      <c r="X19" s="21"/>
      <c r="Y19" s="21"/>
      <c r="Z19" s="21"/>
      <c r="AA19" s="21"/>
      <c r="AB19" s="21"/>
      <c r="AC19" s="21"/>
      <c r="AD19" s="21"/>
      <c r="AE19" s="21"/>
      <c r="AF19" s="21"/>
      <c r="AG19" s="144">
        <f t="shared" si="29"/>
        <v>0</v>
      </c>
      <c r="AH19" s="144">
        <f t="shared" si="29"/>
        <v>0</v>
      </c>
      <c r="AI19" s="144">
        <f t="shared" si="29"/>
        <v>0</v>
      </c>
      <c r="AJ19" s="144">
        <f t="shared" si="29"/>
        <v>0</v>
      </c>
      <c r="AK19" s="144">
        <f t="shared" si="29"/>
        <v>0</v>
      </c>
      <c r="AL19" s="144">
        <f t="shared" si="29"/>
        <v>0</v>
      </c>
      <c r="AM19" s="144">
        <f t="shared" si="29"/>
        <v>0</v>
      </c>
      <c r="AN19" s="144">
        <f t="shared" si="29"/>
        <v>0</v>
      </c>
      <c r="AO19" s="144">
        <f t="shared" si="29"/>
        <v>0</v>
      </c>
      <c r="AP19" s="11">
        <v>2.4510717614165958</v>
      </c>
      <c r="AQ19" s="11">
        <v>3.8021032504780083</v>
      </c>
      <c r="AR19" s="11">
        <v>4.4007670182166789</v>
      </c>
      <c r="AS19" s="11">
        <v>5.6402175862805386</v>
      </c>
      <c r="AT19" s="11">
        <v>6.5988466673889432</v>
      </c>
      <c r="AU19" s="11">
        <v>7.6460507622925329</v>
      </c>
      <c r="AV19" s="11">
        <v>9.3398872588026531</v>
      </c>
      <c r="AW19" s="11">
        <v>11.189130080932967</v>
      </c>
      <c r="AX19" s="11">
        <v>13.161076136560704</v>
      </c>
      <c r="AY19" s="145">
        <f t="shared" si="30"/>
        <v>2.4510717614165958</v>
      </c>
      <c r="AZ19" s="145">
        <f t="shared" si="30"/>
        <v>3.8021032504780083</v>
      </c>
      <c r="BA19" s="145">
        <f t="shared" si="30"/>
        <v>4.4007670182166789</v>
      </c>
      <c r="BB19" s="145">
        <f t="shared" si="30"/>
        <v>5.6402175862805386</v>
      </c>
      <c r="BC19" s="145">
        <f t="shared" si="30"/>
        <v>6.5988466673889432</v>
      </c>
      <c r="BD19" s="145">
        <f t="shared" si="30"/>
        <v>7.6460507622925329</v>
      </c>
      <c r="BE19" s="145">
        <f t="shared" si="30"/>
        <v>9.3398872588026531</v>
      </c>
      <c r="BF19" s="145">
        <f t="shared" si="30"/>
        <v>11.189130080932967</v>
      </c>
      <c r="BG19" s="145">
        <f t="shared" si="30"/>
        <v>13.161076136560704</v>
      </c>
      <c r="BH19" s="5" t="e">
        <f t="shared" ca="1" si="31"/>
        <v>#VALUE!</v>
      </c>
      <c r="BI19" s="5" t="e">
        <f t="shared" ca="1" si="31"/>
        <v>#VALUE!</v>
      </c>
      <c r="BJ19" s="5" t="e">
        <f t="shared" ca="1" si="31"/>
        <v>#VALUE!</v>
      </c>
      <c r="BK19" s="5" t="e">
        <f t="shared" ca="1" si="31"/>
        <v>#VALUE!</v>
      </c>
      <c r="BL19" s="5" t="e">
        <f t="shared" ca="1" si="31"/>
        <v>#VALUE!</v>
      </c>
      <c r="BM19" s="5" t="e">
        <f t="shared" ca="1" si="31"/>
        <v>#VALUE!</v>
      </c>
      <c r="BN19" s="5" t="e">
        <f t="shared" ca="1" si="31"/>
        <v>#VALUE!</v>
      </c>
      <c r="BO19" s="229" t="s">
        <v>24</v>
      </c>
      <c r="BP19" s="229" t="s">
        <v>24</v>
      </c>
      <c r="BQ19" s="229" t="str">
        <f ca="1">IFERROR($N19/AM19,"n/a")</f>
        <v>n/a</v>
      </c>
      <c r="BR19" s="229" t="str">
        <f ca="1">IFERROR($N19/AN19,"n/a")</f>
        <v>n/a</v>
      </c>
      <c r="BS19" s="229" t="str">
        <f ca="1">IFERROR($N19/AO19,"n/a")</f>
        <v>n/a</v>
      </c>
      <c r="BT19" s="5" t="e">
        <f t="shared" ca="1" si="32"/>
        <v>#VALUE!</v>
      </c>
      <c r="BU19" s="5" t="e">
        <f t="shared" ca="1" si="32"/>
        <v>#VALUE!</v>
      </c>
      <c r="BV19" s="5" t="e">
        <f t="shared" ca="1" si="32"/>
        <v>#VALUE!</v>
      </c>
      <c r="BW19" s="5" t="e">
        <f t="shared" ca="1" si="32"/>
        <v>#VALUE!</v>
      </c>
      <c r="BX19" s="5" t="e">
        <f t="shared" ca="1" si="32"/>
        <v>#VALUE!</v>
      </c>
      <c r="BY19" s="8" t="e">
        <f t="shared" ca="1" si="28"/>
        <v>#VALUE!</v>
      </c>
      <c r="BZ19" s="5" t="e">
        <f t="shared" ca="1" si="28"/>
        <v>#VALUE!</v>
      </c>
      <c r="CA19" s="5" t="e">
        <f t="shared" ca="1" si="28"/>
        <v>#VALUE!</v>
      </c>
      <c r="CB19" s="5" t="e">
        <f t="shared" ca="1" si="28"/>
        <v>#VALUE!</v>
      </c>
      <c r="CC19" s="5" t="e">
        <f t="shared" ca="1" si="28"/>
        <v>#VALUE!</v>
      </c>
      <c r="CE19" s="12">
        <v>12</v>
      </c>
      <c r="CF19" s="12">
        <f>CE19</f>
        <v>12</v>
      </c>
      <c r="CG19" s="167">
        <f>CF19</f>
        <v>12</v>
      </c>
      <c r="CH19" s="12">
        <f>CG19</f>
        <v>12</v>
      </c>
      <c r="CI19" s="82">
        <f>CH19</f>
        <v>12</v>
      </c>
      <c r="CJ19" s="46"/>
      <c r="CK19" s="46"/>
      <c r="CL19" s="46"/>
      <c r="CM19" s="46"/>
      <c r="CN19" s="46"/>
      <c r="CO19" s="43">
        <f>CE19*BD19+CT19</f>
        <v>91.752609147510398</v>
      </c>
      <c r="CP19" s="43">
        <f>CF19*BE19+CU19</f>
        <v>112.07864710563183</v>
      </c>
      <c r="CQ19" s="43">
        <f>CG19*BF19+CV19</f>
        <v>134.2695609711956</v>
      </c>
      <c r="CR19" s="43">
        <f>CH19*BG19+CW19</f>
        <v>157.93291363872845</v>
      </c>
      <c r="CS19" s="7"/>
      <c r="CT19" s="7"/>
      <c r="CU19" s="7"/>
      <c r="CV19" s="7"/>
      <c r="CW19" s="7"/>
      <c r="CX19" s="7"/>
      <c r="CY19" s="41"/>
      <c r="CZ19" s="41"/>
      <c r="DA19" s="41"/>
      <c r="DB19" s="41"/>
      <c r="DC19" s="19"/>
      <c r="DD19" s="40">
        <v>100.1218820874561</v>
      </c>
      <c r="DE19" s="40">
        <v>97.135469494900988</v>
      </c>
      <c r="DF19" s="40">
        <v>94.03630582114458</v>
      </c>
      <c r="DG19" s="40">
        <v>90.595769565007743</v>
      </c>
      <c r="DH19" s="40">
        <v>86.967435838131067</v>
      </c>
      <c r="DI19" s="40"/>
      <c r="DJ19" s="40"/>
      <c r="DK19" s="40"/>
      <c r="DL19" s="40"/>
      <c r="DM19" s="40"/>
      <c r="DN19" s="7"/>
      <c r="DO19" s="7"/>
      <c r="DP19" s="7">
        <v>2.2483374999999994</v>
      </c>
      <c r="DQ19" s="7">
        <v>2.304545937499999</v>
      </c>
      <c r="DR19" s="7">
        <v>2.3621595859374986</v>
      </c>
      <c r="DS19" s="7">
        <v>2.4212135755859361</v>
      </c>
      <c r="DT19" s="7">
        <v>2.4817439149755844</v>
      </c>
      <c r="DU19" s="78" t="e">
        <f ca="1">_xlfn.RRI(Summary!DT$2,$H19,CO19+$DP19*Summary!$DT$2)</f>
        <v>#VALUE!</v>
      </c>
      <c r="DV19" s="78" t="e">
        <f ca="1">_xlfn.RRI(Summary!DU$2,$H19,CP19+$DP19*Summary!$DT$2+SUM($DQ19:DQ19))</f>
        <v>#VALUE!</v>
      </c>
      <c r="DW19" s="6" t="e">
        <f ca="1">_xlfn.RRI(Summary!DV$2,$H19,CQ19+$DP19*Summary!$DT$2+SUM($DQ19:DR19))</f>
        <v>#VALUE!</v>
      </c>
      <c r="DX19" s="6" t="e">
        <f ca="1">_xlfn.RRI(Summary!DW$2,$H19,CR19+$DP19*Summary!$DT$2+SUM($DQ19:DS19))</f>
        <v>#VALUE!</v>
      </c>
      <c r="DY19" s="171" t="e">
        <f ca="1">SUM(CO19,$DP19:DP19)/$H19</f>
        <v>#VALUE!</v>
      </c>
      <c r="DZ19" s="132" t="e">
        <f ca="1">SUM(CP19,$DP19:DQ19)/$H19</f>
        <v>#VALUE!</v>
      </c>
      <c r="EA19" s="132" t="e">
        <f ca="1">SUM(CQ19,$DP19:DR19)/$H19</f>
        <v>#VALUE!</v>
      </c>
      <c r="EB19" s="132" t="e">
        <f ca="1">SUM(CR19,$DP19:DS19)/$H19</f>
        <v>#VALUE!</v>
      </c>
      <c r="EC19" s="78" cm="1">
        <f t="array" ref="EC19">_xll.BDP(""&amp;$B19&amp;"","CHG_PCT_1M")/100</f>
        <v>-6.6722989999999996E-2</v>
      </c>
      <c r="ED19" s="6" cm="1">
        <f t="array" ref="ED19">_xll.BDP(""&amp;$B19&amp;"","CHG_PCT_3M")/100</f>
        <v>-1.9230750000000001E-2</v>
      </c>
      <c r="EE19" s="194" cm="1">
        <f t="array" ref="EE19">_xll.BDP(""&amp;$B19&amp;"","CHG_PCT_6M")/100</f>
        <v>6.6773910000000006E-2</v>
      </c>
      <c r="EF19" s="363">
        <f ca="1">_xlfn.RRI(2+Summary!$DT$2,Summary!$DT$2*S19+(1-Summary!$DT$2)*T19,V19)</f>
        <v>5.5449962764968275E-2</v>
      </c>
      <c r="EG19" s="175">
        <f ca="1">EH19-EF19</f>
        <v>0.1022703574999686</v>
      </c>
      <c r="EH19" s="363">
        <f ca="1">_xlfn.RRI(2+Summary!$DT$2,Summary!$DT$2*(BC19*DD19)+(1-Summary!$DT$2)*(BD19*DE19),(BF19*DG19))</f>
        <v>0.15772032026493688</v>
      </c>
      <c r="EI19" s="6">
        <f ca="1">EJ19-EH19</f>
        <v>3.9397282232858322E-2</v>
      </c>
      <c r="EJ19" s="363">
        <f ca="1">FW19+FV19</f>
        <v>0.1971176024977952</v>
      </c>
      <c r="EK19" s="6" t="e">
        <f ca="1">EL19-EJ19</f>
        <v>#VALUE!</v>
      </c>
      <c r="EL19" s="367" t="e">
        <f ca="1">DW19</f>
        <v>#VALUE!</v>
      </c>
      <c r="EM19" s="6">
        <f>_xlfn.RRI(3,AK19,AN19)</f>
        <v>0</v>
      </c>
      <c r="EN19" s="194">
        <f>_xlfn.RRI(3,BC19,BF19)</f>
        <v>0.19245709494270602</v>
      </c>
      <c r="EO19" s="163" cm="1">
        <f t="array" ref="EO19">_xll.BDP(B19,"AVG_DAILY_VALUE_TRADED_3M")/10^6</f>
        <v>62.298732000000001</v>
      </c>
      <c r="EP19" s="292"/>
      <c r="EQ19" s="292"/>
      <c r="ER19" s="292"/>
      <c r="ES19" s="292"/>
      <c r="ET19" s="292"/>
      <c r="EU19" s="292"/>
      <c r="EV19" s="292"/>
      <c r="EW19" s="292"/>
      <c r="EX19" s="296">
        <v>0.2</v>
      </c>
      <c r="EY19" s="296">
        <v>-0.2</v>
      </c>
      <c r="EZ19" s="295">
        <f>EX19-EY19</f>
        <v>0.4</v>
      </c>
      <c r="FA19" s="298">
        <f>FL19/CG19-1</f>
        <v>0.16666666666666674</v>
      </c>
      <c r="FB19" s="298">
        <f>FM19/CG19-1</f>
        <v>-0.33333333333333337</v>
      </c>
      <c r="FC19" s="295">
        <f>FA19-FB19</f>
        <v>0.50000000000000011</v>
      </c>
      <c r="FD19" s="15">
        <f>EX19+EY19</f>
        <v>0</v>
      </c>
      <c r="FE19" s="15">
        <f>FB19+FA19</f>
        <v>-0.16666666666666663</v>
      </c>
      <c r="FF19" s="15" t="e">
        <f ca="1">EL19+EX19/3+FA19/3</f>
        <v>#VALUE!</v>
      </c>
      <c r="FG19" s="15" t="e">
        <f ca="1">EL19+EY19/3+FB19/3</f>
        <v>#VALUE!</v>
      </c>
      <c r="FH19" s="300" t="e">
        <f ca="1">EL19+FD19/3+FE19/3</f>
        <v>#VALUE!</v>
      </c>
      <c r="FI19" s="15" t="e">
        <f ca="1">EL19</f>
        <v>#VALUE!</v>
      </c>
      <c r="FJ19" s="300" t="e">
        <f ca="1">FH19-FI19</f>
        <v>#VALUE!</v>
      </c>
      <c r="FK19" s="15" t="e">
        <f ca="1">FF19-FG19</f>
        <v>#VALUE!</v>
      </c>
      <c r="FL19" s="294">
        <v>14</v>
      </c>
      <c r="FM19" s="294">
        <v>8</v>
      </c>
      <c r="FV19" s="361">
        <f ca="1">IFERROR(AVERAGE(DQ19:DR19)/H19,0)</f>
        <v>0</v>
      </c>
      <c r="FW19" s="361">
        <f ca="1">_xlfn.RRI(2+Summary!$DT$2,Summary!$DT$2*(BC19)+(1-Summary!$DT$2)*(BD19),(BF19))</f>
        <v>0.1971176024977952</v>
      </c>
      <c r="FX19" s="127">
        <f ca="1">FW19-EH19+FV19</f>
        <v>3.9397282232858322E-2</v>
      </c>
    </row>
  </sheetData>
  <conditionalFormatting sqref="BO6:BS6">
    <cfRule type="colorScale" priority="63">
      <colorScale>
        <cfvo type="min"/>
        <cfvo type="max"/>
        <color rgb="FF63BE7B"/>
        <color rgb="FFFFEF9C"/>
      </colorScale>
    </cfRule>
  </conditionalFormatting>
  <conditionalFormatting sqref="BO16:BS16">
    <cfRule type="colorScale" priority="43">
      <colorScale>
        <cfvo type="min"/>
        <cfvo type="max"/>
        <color rgb="FF63BE7B"/>
        <color rgb="FFFFEF9C"/>
      </colorScale>
    </cfRule>
  </conditionalFormatting>
  <conditionalFormatting sqref="BZ6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Z16">
    <cfRule type="colorScale" priority="32">
      <colorScale>
        <cfvo type="min"/>
        <cfvo type="max"/>
        <color rgb="FF63BE7B"/>
        <color rgb="FFFFEF9C"/>
      </colorScale>
    </cfRule>
    <cfRule type="colorScale" priority="33">
      <colorScale>
        <cfvo type="min"/>
        <cfvo type="max"/>
        <color rgb="FFFFEF9C"/>
        <color rgb="FF63BE7B"/>
      </colorScale>
    </cfRule>
    <cfRule type="colorScale" priority="35">
      <colorScale>
        <cfvo type="min"/>
        <cfvo type="max"/>
        <color rgb="FF63BE7B"/>
        <color rgb="FFFFEF9C"/>
      </colorScale>
    </cfRule>
    <cfRule type="colorScale" priority="36">
      <colorScale>
        <cfvo type="min"/>
        <cfvo type="max"/>
        <color rgb="FFFFEF9C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W6">
    <cfRule type="colorScale" priority="57">
      <colorScale>
        <cfvo type="num" val="0.1"/>
        <cfvo type="percentile" val="0.15"/>
        <cfvo type="num" val="0.3"/>
        <color rgb="FFF8696B"/>
        <color rgb="FFFFEB84"/>
        <color rgb="FF63BE7B"/>
      </colorScale>
    </cfRule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W17">
    <cfRule type="colorScale" priority="20">
      <colorScale>
        <cfvo type="min"/>
        <cfvo type="max"/>
        <color rgb="FFFFEF9C"/>
        <color rgb="FF63BE7B"/>
      </colorScale>
    </cfRule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W18">
    <cfRule type="colorScale" priority="11">
      <colorScale>
        <cfvo type="min"/>
        <cfvo type="max"/>
        <color rgb="FFFFEF9C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W19">
    <cfRule type="colorScale" priority="2">
      <colorScale>
        <cfvo type="min"/>
        <cfvo type="max"/>
        <color rgb="FFFFEF9C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W6:DX6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W16:DX16">
    <cfRule type="colorScale" priority="38">
      <colorScale>
        <cfvo type="min"/>
        <cfvo type="max"/>
        <color rgb="FFFFEF9C"/>
        <color rgb="FF63BE7B"/>
      </colorScale>
    </cfRule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A16">
    <cfRule type="colorScale" priority="37">
      <colorScale>
        <cfvo type="min"/>
        <cfvo type="max"/>
        <color rgb="FFFFEF9C"/>
        <color rgb="FF63BE7B"/>
      </colorScale>
    </cfRule>
    <cfRule type="colorScale" priority="41">
      <colorScale>
        <cfvo type="min"/>
        <cfvo type="max"/>
        <color rgb="FFFCFCFF"/>
        <color rgb="FF63BE7B"/>
      </colorScale>
    </cfRule>
  </conditionalFormatting>
  <conditionalFormatting sqref="EA6:EB6">
    <cfRule type="colorScale" priority="64">
      <colorScale>
        <cfvo type="min"/>
        <cfvo type="max"/>
        <color rgb="FFFCFCFF"/>
        <color rgb="FF63BE7B"/>
      </colorScale>
    </cfRule>
  </conditionalFormatting>
  <conditionalFormatting sqref="EC6:EE6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C16:EE16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E17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E18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E1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F16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F9:EL10 EF13:EL14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G16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I16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K16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L16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F17">
    <cfRule type="colorScale" priority="2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F18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F19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G17">
    <cfRule type="colorScale" priority="2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G18">
    <cfRule type="colorScale" priority="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G19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H17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H18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H1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I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I18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I1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J17">
    <cfRule type="colorScale" priority="2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J18"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J19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K17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K18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K19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scale="35" orientation="landscape" horizontalDpi="300" verticalDpi="300" r:id="rId1"/>
  <colBreaks count="2" manualBreakCount="2">
    <brk id="2" max="1048575" man="1"/>
    <brk id="146" max="1048575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9C98E-C22F-4CB0-B74D-2F5125C2A1EC}">
  <dimension ref="A1:J45"/>
  <sheetViews>
    <sheetView showGridLines="0" zoomScale="116" zoomScaleNormal="85" workbookViewId="0">
      <selection activeCell="B2" sqref="B2:G30"/>
    </sheetView>
  </sheetViews>
  <sheetFormatPr defaultColWidth="9.140625" defaultRowHeight="15" outlineLevelRow="1" x14ac:dyDescent="0.25"/>
  <cols>
    <col min="1" max="1" width="4.7109375" style="249" customWidth="1"/>
    <col min="2" max="2" width="32.42578125" style="249" bestFit="1" customWidth="1"/>
    <col min="3" max="4" width="9.140625" style="249"/>
    <col min="5" max="5" width="9.140625" style="249" customWidth="1"/>
    <col min="6" max="16384" width="9.140625" style="249"/>
  </cols>
  <sheetData>
    <row r="1" spans="1:10" ht="30.75" thickBot="1" x14ac:dyDescent="0.3">
      <c r="A1" s="374" t="str">
        <f>IFERROR(B2:G30,"table")</f>
        <v>table</v>
      </c>
      <c r="C1" s="250" t="s">
        <v>94</v>
      </c>
      <c r="D1" s="250" t="s">
        <v>133</v>
      </c>
      <c r="E1" s="250" t="s">
        <v>182</v>
      </c>
      <c r="F1" s="250" t="s">
        <v>69</v>
      </c>
      <c r="G1" s="250" t="s">
        <v>189</v>
      </c>
    </row>
    <row r="2" spans="1:10" x14ac:dyDescent="0.25">
      <c r="B2" s="251" t="s">
        <v>190</v>
      </c>
      <c r="C2" s="252" t="s">
        <v>95</v>
      </c>
      <c r="D2" s="252" t="s">
        <v>134</v>
      </c>
      <c r="E2" s="252" t="s">
        <v>150</v>
      </c>
      <c r="F2" s="252" t="s">
        <v>68</v>
      </c>
      <c r="G2" s="253" t="s">
        <v>163</v>
      </c>
    </row>
    <row r="3" spans="1:10" x14ac:dyDescent="0.25">
      <c r="B3" s="254" t="s">
        <v>7</v>
      </c>
      <c r="C3" s="255">
        <f>_xll.BDP(C1,"Px_Last")</f>
        <v>412.90499999999997</v>
      </c>
      <c r="D3" s="255">
        <f>_xll.BDP(D1,"Px_Last")</f>
        <v>246.44</v>
      </c>
      <c r="E3" s="255">
        <f>_xll.BDP(E1,"Px_Last")</f>
        <v>359.10199999999998</v>
      </c>
      <c r="F3" s="255">
        <f>_xll.BDP(F1,"Px_Last")</f>
        <v>211.60069999999999</v>
      </c>
      <c r="G3" s="256">
        <f>_xll.BDP(G1,"Px_Last")</f>
        <v>589.73</v>
      </c>
    </row>
    <row r="4" spans="1:10" x14ac:dyDescent="0.25">
      <c r="B4" s="254"/>
      <c r="C4" s="255"/>
      <c r="D4" s="255"/>
      <c r="E4" s="255"/>
      <c r="F4" s="255"/>
      <c r="G4" s="256"/>
    </row>
    <row r="5" spans="1:10" x14ac:dyDescent="0.25">
      <c r="B5" s="257" t="s">
        <v>191</v>
      </c>
      <c r="G5" s="258"/>
    </row>
    <row r="6" spans="1:10" x14ac:dyDescent="0.25">
      <c r="B6" s="254" t="s">
        <v>192</v>
      </c>
      <c r="C6" s="259">
        <v>14.719285170810085</v>
      </c>
      <c r="D6" s="260">
        <f>+D8-D7</f>
        <v>3.6573247065528287</v>
      </c>
      <c r="E6" s="260">
        <f>+E8-E7</f>
        <v>9.6269220602886705</v>
      </c>
      <c r="F6" s="261"/>
      <c r="G6" s="262"/>
    </row>
    <row r="7" spans="1:10" x14ac:dyDescent="0.25">
      <c r="B7" s="254" t="s">
        <v>193</v>
      </c>
      <c r="C7" s="259">
        <v>4.4659495382352823</v>
      </c>
      <c r="D7" s="260">
        <f>+D34*0.75+D35*0.25</f>
        <v>4.2467402168215624</v>
      </c>
      <c r="E7" s="260">
        <f>+E34*0.75+E35*0.25</f>
        <v>1.2080180976820456</v>
      </c>
      <c r="F7" s="261"/>
      <c r="G7" s="262"/>
    </row>
    <row r="8" spans="1:10" x14ac:dyDescent="0.25">
      <c r="B8" s="254" t="s">
        <v>194</v>
      </c>
      <c r="C8" s="260">
        <f>SUM(C6:C7)</f>
        <v>19.185234709045368</v>
      </c>
      <c r="D8" s="260">
        <f>+D40*0.75+D41*0.25</f>
        <v>7.9040649233743911</v>
      </c>
      <c r="E8" s="260">
        <f>+E40*0.75+E41*0.25</f>
        <v>10.834940157970717</v>
      </c>
      <c r="F8" s="261"/>
      <c r="G8" s="262"/>
    </row>
    <row r="9" spans="1:10" x14ac:dyDescent="0.25">
      <c r="B9" s="254"/>
      <c r="G9" s="258"/>
    </row>
    <row r="10" spans="1:10" x14ac:dyDescent="0.25">
      <c r="B10" s="254" t="s">
        <v>195</v>
      </c>
      <c r="C10" s="263">
        <v>18</v>
      </c>
      <c r="D10" s="263">
        <v>26</v>
      </c>
      <c r="E10" s="263">
        <v>20</v>
      </c>
      <c r="F10" s="263">
        <v>22</v>
      </c>
      <c r="G10" s="264">
        <v>20</v>
      </c>
    </row>
    <row r="11" spans="1:10" x14ac:dyDescent="0.25">
      <c r="B11" s="265" t="s">
        <v>196</v>
      </c>
      <c r="C11" s="266">
        <f>(C21-C24-C6*C10)/C7</f>
        <v>25.016483365563655</v>
      </c>
      <c r="D11" s="266">
        <f>((D12*D8)-(D6*D10))/D7</f>
        <v>35.63899600689556</v>
      </c>
      <c r="E11" s="266">
        <f>((E12*E8)-(E6*E10))/E7</f>
        <v>137.88167504595336</v>
      </c>
      <c r="G11" s="258"/>
    </row>
    <row r="12" spans="1:10" x14ac:dyDescent="0.25">
      <c r="B12" s="265" t="s">
        <v>197</v>
      </c>
      <c r="C12" s="267">
        <f>C3/C8</f>
        <v>21.522019733505026</v>
      </c>
      <c r="D12" s="267">
        <f>D3/D8</f>
        <v>31.178893694459966</v>
      </c>
      <c r="E12" s="267">
        <f>E3/E8</f>
        <v>33.142961083714596</v>
      </c>
      <c r="G12" s="258"/>
      <c r="J12" s="249" t="s">
        <v>198</v>
      </c>
    </row>
    <row r="13" spans="1:10" x14ac:dyDescent="0.25">
      <c r="B13" s="254"/>
      <c r="G13" s="258"/>
    </row>
    <row r="14" spans="1:10" x14ac:dyDescent="0.25">
      <c r="B14" s="254" t="s">
        <v>199</v>
      </c>
      <c r="C14" s="268">
        <v>0.33060216378965857</v>
      </c>
      <c r="D14" s="268">
        <v>0.22886529248033494</v>
      </c>
      <c r="E14" s="268">
        <v>0.3678819340764039</v>
      </c>
      <c r="G14" s="258"/>
    </row>
    <row r="15" spans="1:10" x14ac:dyDescent="0.25">
      <c r="B15" s="254" t="s">
        <v>200</v>
      </c>
      <c r="C15" s="268">
        <v>0.42628554765670779</v>
      </c>
      <c r="D15" s="268">
        <v>0.27676823664984851</v>
      </c>
      <c r="E15" s="268">
        <v>0.53443274560532816</v>
      </c>
      <c r="G15" s="258"/>
    </row>
    <row r="16" spans="1:10" x14ac:dyDescent="0.25">
      <c r="B16" s="265" t="s">
        <v>201</v>
      </c>
      <c r="C16" s="266">
        <f>+(C7*C11)/C18</f>
        <v>9.1426206179912537</v>
      </c>
      <c r="D16" s="266">
        <f>+(D7*D11)/D18</f>
        <v>17.893944209707932</v>
      </c>
      <c r="E16" s="266">
        <f>+(E7*E11)/E18</f>
        <v>40.678940839767414</v>
      </c>
      <c r="G16" s="258"/>
    </row>
    <row r="17" spans="2:10" x14ac:dyDescent="0.25">
      <c r="B17" s="254"/>
      <c r="G17" s="258"/>
    </row>
    <row r="18" spans="2:10" hidden="1" outlineLevel="1" x14ac:dyDescent="0.25">
      <c r="B18" s="254" t="s">
        <v>202</v>
      </c>
      <c r="C18" s="269">
        <v>12.219948415540445</v>
      </c>
      <c r="D18" s="269">
        <v>8.4581440433638644</v>
      </c>
      <c r="E18" s="269">
        <v>4.0945893712010157</v>
      </c>
      <c r="G18" s="258"/>
    </row>
    <row r="19" spans="2:10" hidden="1" outlineLevel="1" x14ac:dyDescent="0.25">
      <c r="B19" s="254"/>
      <c r="G19" s="258"/>
    </row>
    <row r="20" spans="2:10" hidden="1" outlineLevel="1" x14ac:dyDescent="0.25">
      <c r="B20" s="254"/>
      <c r="D20" s="270"/>
      <c r="G20" s="258"/>
    </row>
    <row r="21" spans="2:10" hidden="1" outlineLevel="1" x14ac:dyDescent="0.25">
      <c r="B21" s="254" t="s">
        <v>203</v>
      </c>
      <c r="C21" s="271">
        <f>C3</f>
        <v>412.90499999999997</v>
      </c>
      <c r="D21" s="271">
        <f t="shared" ref="D21:E21" si="0">D3</f>
        <v>246.44</v>
      </c>
      <c r="E21" s="271">
        <f t="shared" si="0"/>
        <v>359.10199999999998</v>
      </c>
      <c r="G21" s="258"/>
    </row>
    <row r="22" spans="2:10" hidden="1" outlineLevel="1" x14ac:dyDescent="0.25">
      <c r="B22" s="254"/>
      <c r="G22" s="258"/>
    </row>
    <row r="23" spans="2:10" s="275" customFormat="1" hidden="1" outlineLevel="1" x14ac:dyDescent="0.25">
      <c r="B23" s="272" t="s">
        <v>204</v>
      </c>
      <c r="C23" s="273"/>
      <c r="D23" s="273"/>
      <c r="E23" s="273"/>
      <c r="F23" s="273"/>
      <c r="G23" s="274"/>
    </row>
    <row r="24" spans="2:10" s="275" customFormat="1" hidden="1" outlineLevel="1" x14ac:dyDescent="0.25">
      <c r="B24" s="272" t="s">
        <v>205</v>
      </c>
      <c r="C24" s="276">
        <v>36.235514590708846</v>
      </c>
      <c r="D24" s="273"/>
      <c r="E24" s="273"/>
      <c r="F24" s="273"/>
      <c r="G24" s="274"/>
    </row>
    <row r="25" spans="2:10" hidden="1" outlineLevel="1" x14ac:dyDescent="0.25">
      <c r="B25" s="254"/>
      <c r="G25" s="258"/>
    </row>
    <row r="26" spans="2:10" hidden="1" outlineLevel="1" x14ac:dyDescent="0.25">
      <c r="B26" s="254"/>
      <c r="G26" s="258"/>
    </row>
    <row r="27" spans="2:10" hidden="1" outlineLevel="1" x14ac:dyDescent="0.25">
      <c r="B27" s="254"/>
      <c r="G27" s="258"/>
    </row>
    <row r="28" spans="2:10" collapsed="1" x14ac:dyDescent="0.25">
      <c r="B28" s="257" t="s">
        <v>206</v>
      </c>
      <c r="G28" s="258"/>
    </row>
    <row r="29" spans="2:10" x14ac:dyDescent="0.25">
      <c r="B29" s="254" t="s">
        <v>207</v>
      </c>
      <c r="C29" s="277">
        <f>D29</f>
        <v>27</v>
      </c>
      <c r="D29" s="278">
        <v>27</v>
      </c>
      <c r="E29" s="277">
        <f>C29</f>
        <v>27</v>
      </c>
      <c r="F29" s="277">
        <f t="shared" ref="F29:G29" si="1">E29</f>
        <v>27</v>
      </c>
      <c r="G29" s="279">
        <f t="shared" si="1"/>
        <v>27</v>
      </c>
      <c r="J29" s="249" t="s">
        <v>198</v>
      </c>
    </row>
    <row r="30" spans="2:10" ht="15.75" thickBot="1" x14ac:dyDescent="0.3">
      <c r="B30" s="280" t="s">
        <v>208</v>
      </c>
      <c r="C30" s="281">
        <f>(C21-C29*C7-C24)/C6</f>
        <v>17.398185095617961</v>
      </c>
      <c r="D30" s="281">
        <f>(D21-D29*D7)/D6</f>
        <v>36.031259108525724</v>
      </c>
      <c r="E30" s="281">
        <f t="shared" ref="E30" si="2">(E21-E29*E7)/E6</f>
        <v>33.913800207165572</v>
      </c>
      <c r="F30" s="282"/>
      <c r="G30" s="283"/>
      <c r="J30" s="249" t="s">
        <v>198</v>
      </c>
    </row>
    <row r="33" spans="2:5" hidden="1" outlineLevel="1" x14ac:dyDescent="0.25">
      <c r="B33" s="284" t="s">
        <v>209</v>
      </c>
    </row>
    <row r="34" spans="2:5" hidden="1" outlineLevel="1" x14ac:dyDescent="0.25">
      <c r="B34" s="285">
        <v>2026</v>
      </c>
      <c r="D34" s="269">
        <v>3.9250691895173619</v>
      </c>
      <c r="E34" s="269">
        <v>1.0934769252838221</v>
      </c>
    </row>
    <row r="35" spans="2:5" hidden="1" outlineLevel="1" x14ac:dyDescent="0.25">
      <c r="B35" s="270">
        <f>B34+1</f>
        <v>2027</v>
      </c>
      <c r="D35" s="269">
        <v>5.2117532987341662</v>
      </c>
      <c r="E35" s="269">
        <v>1.5516416148767158</v>
      </c>
    </row>
    <row r="36" spans="2:5" hidden="1" outlineLevel="1" x14ac:dyDescent="0.25">
      <c r="B36" s="270">
        <f t="shared" ref="B36:B38" si="3">B35+1</f>
        <v>2028</v>
      </c>
      <c r="D36" s="269">
        <v>6.7817797615131079</v>
      </c>
      <c r="E36" s="269">
        <v>2.4389566106970002</v>
      </c>
    </row>
    <row r="37" spans="2:5" hidden="1" outlineLevel="1" x14ac:dyDescent="0.25">
      <c r="B37" s="270">
        <f t="shared" si="3"/>
        <v>2029</v>
      </c>
      <c r="D37" s="269">
        <v>8.4581440433638644</v>
      </c>
      <c r="E37" s="269">
        <v>4.0945893712010157</v>
      </c>
    </row>
    <row r="38" spans="2:5" hidden="1" outlineLevel="1" x14ac:dyDescent="0.25">
      <c r="B38" s="270">
        <f t="shared" si="3"/>
        <v>2030</v>
      </c>
      <c r="D38" s="269">
        <v>10.919119169734044</v>
      </c>
      <c r="E38" s="269">
        <v>5.7653827821160659</v>
      </c>
    </row>
    <row r="39" spans="2:5" hidden="1" outlineLevel="1" x14ac:dyDescent="0.25"/>
    <row r="40" spans="2:5" hidden="1" outlineLevel="1" x14ac:dyDescent="0.25">
      <c r="B40" s="270">
        <f>+B34</f>
        <v>2026</v>
      </c>
      <c r="D40" s="286">
        <v>7.3680359006528509</v>
      </c>
      <c r="E40" s="286">
        <v>10.430842612585375</v>
      </c>
    </row>
    <row r="41" spans="2:5" hidden="1" outlineLevel="1" x14ac:dyDescent="0.25">
      <c r="B41" s="270">
        <f t="shared" ref="B41:B44" si="4">+B35</f>
        <v>2027</v>
      </c>
      <c r="D41" s="286">
        <v>9.5121519915390103</v>
      </c>
      <c r="E41" s="286">
        <v>12.047232794126746</v>
      </c>
    </row>
    <row r="42" spans="2:5" hidden="1" outlineLevel="1" x14ac:dyDescent="0.25">
      <c r="B42" s="270">
        <f t="shared" si="4"/>
        <v>2028</v>
      </c>
      <c r="D42" s="286">
        <v>12.252122487521881</v>
      </c>
      <c r="E42" s="286">
        <v>14.17434089422596</v>
      </c>
    </row>
    <row r="43" spans="2:5" hidden="1" outlineLevel="1" x14ac:dyDescent="0.25">
      <c r="B43" s="270">
        <f t="shared" si="4"/>
        <v>2029</v>
      </c>
      <c r="D43" s="286">
        <v>15.255781628958147</v>
      </c>
      <c r="E43" s="286">
        <v>17.360857136679428</v>
      </c>
    </row>
    <row r="44" spans="2:5" hidden="1" outlineLevel="1" x14ac:dyDescent="0.25">
      <c r="B44" s="270">
        <f t="shared" si="4"/>
        <v>2030</v>
      </c>
      <c r="D44" s="286">
        <v>19.17599657091349</v>
      </c>
      <c r="E44" s="286">
        <v>20.696307532016672</v>
      </c>
    </row>
    <row r="45" spans="2:5" collapsed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EAB18-811B-4674-A9AD-BC9A1C54355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AE962-0BB3-4257-9DFC-A816755D546B}">
  <dimension ref="B1:H8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0" sqref="C20"/>
    </sheetView>
  </sheetViews>
  <sheetFormatPr defaultRowHeight="15" outlineLevelRow="1" x14ac:dyDescent="0.25"/>
  <cols>
    <col min="1" max="1" width="4.7109375" customWidth="1"/>
    <col min="2" max="2" width="35.7109375" bestFit="1" customWidth="1"/>
    <col min="3" max="3" width="10.7109375" bestFit="1" customWidth="1"/>
    <col min="4" max="4" width="11.5703125" bestFit="1" customWidth="1"/>
    <col min="5" max="5" width="10.7109375" bestFit="1" customWidth="1"/>
    <col min="6" max="6" width="10.5703125" bestFit="1" customWidth="1"/>
    <col min="7" max="7" width="10.140625" customWidth="1"/>
    <col min="8" max="8" width="10.7109375" bestFit="1" customWidth="1"/>
  </cols>
  <sheetData>
    <row r="1" spans="2:8" ht="15.75" thickBot="1" x14ac:dyDescent="0.3"/>
    <row r="2" spans="2:8" x14ac:dyDescent="0.25">
      <c r="B2" s="121" t="s">
        <v>121</v>
      </c>
      <c r="C2" s="122" t="s">
        <v>76</v>
      </c>
      <c r="D2" s="122" t="s">
        <v>23</v>
      </c>
      <c r="E2" s="122" t="s">
        <v>37</v>
      </c>
      <c r="F2" s="122" t="s">
        <v>21</v>
      </c>
      <c r="G2" s="122" t="s">
        <v>82</v>
      </c>
      <c r="H2" s="123" t="s">
        <v>18</v>
      </c>
    </row>
    <row r="3" spans="2:8" x14ac:dyDescent="0.25">
      <c r="B3" s="38"/>
      <c r="H3" s="114"/>
    </row>
    <row r="4" spans="2:8" x14ac:dyDescent="0.25">
      <c r="B4" s="62" t="s">
        <v>125</v>
      </c>
      <c r="C4" s="124" t="e">
        <f ca="1">Summary!BO49</f>
        <v>#VALUE!</v>
      </c>
      <c r="D4" s="124" t="e">
        <f ca="1">Summary!BO27</f>
        <v>#VALUE!</v>
      </c>
      <c r="E4" s="124" t="e">
        <f>Summary!#REF!</f>
        <v>#REF!</v>
      </c>
      <c r="F4" s="124" t="e">
        <f ca="1">Summary!BO47</f>
        <v>#VALUE!</v>
      </c>
      <c r="G4" s="124" t="e">
        <f ca="1">Summary!BO9</f>
        <v>#VALUE!</v>
      </c>
      <c r="H4" s="125" t="e">
        <f ca="1">Summary!BO7</f>
        <v>#VALUE!</v>
      </c>
    </row>
    <row r="5" spans="2:8" x14ac:dyDescent="0.25">
      <c r="B5" s="126" t="s">
        <v>109</v>
      </c>
      <c r="C5" s="127">
        <f>_xlfn.RRI(3,Summary!AK49,Summary!AN49)</f>
        <v>0.1777912539227946</v>
      </c>
      <c r="D5" s="127">
        <f>_xlfn.RRI(3,Summary!AK27,Summary!AN27)</f>
        <v>0.1782581285576279</v>
      </c>
      <c r="E5" s="127" t="e">
        <f>_xlfn.RRI(3,Summary!#REF!,Summary!#REF!)</f>
        <v>#REF!</v>
      </c>
      <c r="F5" s="127">
        <f>_xlfn.RRI(3,Summary!AK47,Summary!AN47)</f>
        <v>0.12783554817174836</v>
      </c>
      <c r="G5" s="127">
        <f>_xlfn.RRI(3,Summary!AK9,Summary!AN9)</f>
        <v>0.12235931888292328</v>
      </c>
      <c r="H5" s="128">
        <f>_xlfn.RRI(3,Summary!AK7,Summary!AN7)</f>
        <v>0.11415066923161898</v>
      </c>
    </row>
    <row r="6" spans="2:8" x14ac:dyDescent="0.25">
      <c r="B6" s="38"/>
      <c r="E6" s="127"/>
      <c r="H6" s="114"/>
    </row>
    <row r="7" spans="2:8" x14ac:dyDescent="0.25">
      <c r="B7" s="104" t="s">
        <v>45</v>
      </c>
      <c r="E7" s="127"/>
      <c r="H7" s="114"/>
    </row>
    <row r="8" spans="2:8" x14ac:dyDescent="0.25">
      <c r="B8" s="115">
        <v>2026</v>
      </c>
      <c r="C8" s="116" t="str" cm="1">
        <f t="array" aca="1" ref="C8:C11" ca="1">TRANSPOSE(Summary!BY49:CB49)</f>
        <v>n/a</v>
      </c>
      <c r="D8" s="116" t="e" cm="1">
        <f t="array" aca="1" ref="D8:D11" ca="1">TRANSPOSE(Summary!BY27:CB27)</f>
        <v>#VALUE!</v>
      </c>
      <c r="E8" s="116" t="e" cm="1">
        <f t="array" ref="E8">TRANSPOSE(Summary!#REF!)</f>
        <v>#REF!</v>
      </c>
      <c r="F8" s="116"/>
      <c r="G8" s="116" t="e" cm="1">
        <f t="array" aca="1" ref="G8:G11" ca="1">TRANSPOSE(Summary!BY9:CB9)</f>
        <v>#VALUE!</v>
      </c>
      <c r="H8" s="117" t="e" cm="1">
        <f t="array" aca="1" ref="H8:H11" ca="1">TRANSPOSE(Summary!BY7:CB7)</f>
        <v>#VALUE!</v>
      </c>
    </row>
    <row r="9" spans="2:8" x14ac:dyDescent="0.25">
      <c r="B9" s="115">
        <v>2027</v>
      </c>
      <c r="C9" s="116" t="e">
        <f ca="1"/>
        <v>#VALUE!</v>
      </c>
      <c r="D9" s="116" t="e">
        <f ca="1"/>
        <v>#VALUE!</v>
      </c>
      <c r="E9" s="116"/>
      <c r="F9" s="116"/>
      <c r="G9" s="116" t="e">
        <f ca="1"/>
        <v>#VALUE!</v>
      </c>
      <c r="H9" s="117" t="e">
        <f ca="1"/>
        <v>#VALUE!</v>
      </c>
    </row>
    <row r="10" spans="2:8" x14ac:dyDescent="0.25">
      <c r="B10" s="115">
        <v>2028</v>
      </c>
      <c r="C10" s="116" t="e">
        <f ca="1"/>
        <v>#VALUE!</v>
      </c>
      <c r="D10" s="116" t="e">
        <f ca="1"/>
        <v>#VALUE!</v>
      </c>
      <c r="E10" s="116"/>
      <c r="F10" s="116" t="e" cm="1">
        <f t="array" aca="1" ref="F10:F11" ca="1">TRANSPOSE(Summary!CA47:CB47)</f>
        <v>#VALUE!</v>
      </c>
      <c r="G10" s="116" t="e">
        <f ca="1"/>
        <v>#VALUE!</v>
      </c>
      <c r="H10" s="117" t="e">
        <f ca="1"/>
        <v>#VALUE!</v>
      </c>
    </row>
    <row r="11" spans="2:8" x14ac:dyDescent="0.25">
      <c r="B11" s="115">
        <v>2029</v>
      </c>
      <c r="C11" s="116" t="e">
        <f ca="1"/>
        <v>#VALUE!</v>
      </c>
      <c r="D11" s="116" t="e">
        <f ca="1"/>
        <v>#VALUE!</v>
      </c>
      <c r="E11" s="116"/>
      <c r="F11" s="116" t="e">
        <f ca="1"/>
        <v>#VALUE!</v>
      </c>
      <c r="G11" s="116" t="e">
        <f ca="1"/>
        <v>#VALUE!</v>
      </c>
      <c r="H11" s="117" t="e">
        <f ca="1"/>
        <v>#VALUE!</v>
      </c>
    </row>
    <row r="12" spans="2:8" ht="15.75" thickBot="1" x14ac:dyDescent="0.3">
      <c r="B12" s="48"/>
      <c r="C12" s="49"/>
      <c r="D12" s="49"/>
      <c r="E12" s="49"/>
      <c r="F12" s="49"/>
      <c r="G12" s="49"/>
      <c r="H12" s="105"/>
    </row>
    <row r="13" spans="2:8" x14ac:dyDescent="0.25">
      <c r="B13" s="111" t="s">
        <v>124</v>
      </c>
      <c r="C13" s="133">
        <v>0.32</v>
      </c>
      <c r="D13" s="133">
        <f>43%*0.85-9%*0.85</f>
        <v>0.28899999999999998</v>
      </c>
      <c r="E13" s="133">
        <f>45%-9%</f>
        <v>0.36</v>
      </c>
      <c r="F13" s="133">
        <f>40%-10%</f>
        <v>0.30000000000000004</v>
      </c>
      <c r="G13" s="133">
        <v>0.36</v>
      </c>
      <c r="H13" s="134">
        <f>35%-13.5%</f>
        <v>0.21499999999999997</v>
      </c>
    </row>
    <row r="14" spans="2:8" x14ac:dyDescent="0.25">
      <c r="B14" s="38" t="s">
        <v>108</v>
      </c>
      <c r="C14" s="27" t="s">
        <v>107</v>
      </c>
      <c r="D14" s="27" t="s">
        <v>132</v>
      </c>
      <c r="E14" s="26">
        <v>2028</v>
      </c>
      <c r="F14" s="27" t="s">
        <v>107</v>
      </c>
      <c r="G14" s="27" t="s">
        <v>107</v>
      </c>
      <c r="H14" s="129">
        <v>2027</v>
      </c>
    </row>
    <row r="15" spans="2:8" hidden="1" outlineLevel="1" x14ac:dyDescent="0.25">
      <c r="B15" s="38" t="s">
        <v>106</v>
      </c>
      <c r="C15" s="15">
        <v>0.18</v>
      </c>
      <c r="D15" s="15">
        <v>0.18</v>
      </c>
      <c r="E15" s="15">
        <v>0.18</v>
      </c>
      <c r="F15" s="15">
        <v>0.18</v>
      </c>
      <c r="G15" s="15">
        <v>0.18</v>
      </c>
      <c r="H15" s="130">
        <v>0.18</v>
      </c>
    </row>
    <row r="16" spans="2:8" collapsed="1" x14ac:dyDescent="0.25">
      <c r="B16" s="104"/>
      <c r="H16" s="114"/>
    </row>
    <row r="17" spans="2:8" x14ac:dyDescent="0.25">
      <c r="B17" s="104" t="s">
        <v>122</v>
      </c>
      <c r="H17" s="114"/>
    </row>
    <row r="18" spans="2:8" x14ac:dyDescent="0.25">
      <c r="B18" s="115">
        <v>2026</v>
      </c>
      <c r="C18" s="116" t="e">
        <f t="shared" ref="C18:H21" ca="1" si="0">C$56/C51</f>
        <v>#VALUE!</v>
      </c>
      <c r="D18" s="116" t="e">
        <f t="shared" ca="1" si="0"/>
        <v>#VALUE!</v>
      </c>
      <c r="E18" s="116" t="e">
        <f t="shared" si="0"/>
        <v>#REF!</v>
      </c>
      <c r="F18" s="116" t="e">
        <f t="shared" ca="1" si="0"/>
        <v>#VALUE!</v>
      </c>
      <c r="G18" s="116" t="e">
        <f t="shared" ca="1" si="0"/>
        <v>#VALUE!</v>
      </c>
      <c r="H18" s="117" t="e">
        <f t="shared" ca="1" si="0"/>
        <v>#VALUE!</v>
      </c>
    </row>
    <row r="19" spans="2:8" x14ac:dyDescent="0.25">
      <c r="B19" s="115">
        <v>2027</v>
      </c>
      <c r="C19" s="116" t="e">
        <f t="shared" ca="1" si="0"/>
        <v>#VALUE!</v>
      </c>
      <c r="D19" s="116" t="e">
        <f t="shared" ca="1" si="0"/>
        <v>#VALUE!</v>
      </c>
      <c r="E19" s="116" t="e">
        <f t="shared" si="0"/>
        <v>#REF!</v>
      </c>
      <c r="F19" s="116" t="e">
        <f t="shared" ca="1" si="0"/>
        <v>#VALUE!</v>
      </c>
      <c r="G19" s="116" t="e">
        <f t="shared" ca="1" si="0"/>
        <v>#VALUE!</v>
      </c>
      <c r="H19" s="117" t="e">
        <f t="shared" ca="1" si="0"/>
        <v>#VALUE!</v>
      </c>
    </row>
    <row r="20" spans="2:8" x14ac:dyDescent="0.25">
      <c r="B20" s="115">
        <v>2028</v>
      </c>
      <c r="C20" s="116" t="e">
        <f t="shared" ca="1" si="0"/>
        <v>#VALUE!</v>
      </c>
      <c r="D20" s="116" t="e">
        <f t="shared" ca="1" si="0"/>
        <v>#VALUE!</v>
      </c>
      <c r="E20" s="116" t="e">
        <f t="shared" si="0"/>
        <v>#REF!</v>
      </c>
      <c r="F20" s="116" t="e">
        <f t="shared" ca="1" si="0"/>
        <v>#VALUE!</v>
      </c>
      <c r="G20" s="116" t="e">
        <f t="shared" ca="1" si="0"/>
        <v>#VALUE!</v>
      </c>
      <c r="H20" s="117" t="e">
        <f t="shared" ca="1" si="0"/>
        <v>#VALUE!</v>
      </c>
    </row>
    <row r="21" spans="2:8" x14ac:dyDescent="0.25">
      <c r="B21" s="115">
        <v>2029</v>
      </c>
      <c r="C21" s="116" t="e">
        <f t="shared" ca="1" si="0"/>
        <v>#VALUE!</v>
      </c>
      <c r="D21" s="116" t="e">
        <f t="shared" ca="1" si="0"/>
        <v>#VALUE!</v>
      </c>
      <c r="E21" s="116" t="e">
        <f t="shared" si="0"/>
        <v>#REF!</v>
      </c>
      <c r="F21" s="116" t="e">
        <f t="shared" ca="1" si="0"/>
        <v>#VALUE!</v>
      </c>
      <c r="G21" s="116" t="e">
        <f t="shared" ca="1" si="0"/>
        <v>#VALUE!</v>
      </c>
      <c r="H21" s="117" t="e">
        <f t="shared" ca="1" si="0"/>
        <v>#VALUE!</v>
      </c>
    </row>
    <row r="22" spans="2:8" ht="15.75" thickBot="1" x14ac:dyDescent="0.3">
      <c r="B22" s="48"/>
      <c r="C22" s="49"/>
      <c r="D22" s="49"/>
      <c r="E22" s="49"/>
      <c r="F22" s="49"/>
      <c r="G22" s="49"/>
      <c r="H22" s="105"/>
    </row>
    <row r="23" spans="2:8" x14ac:dyDescent="0.25">
      <c r="B23" s="111" t="s">
        <v>123</v>
      </c>
      <c r="C23" s="112">
        <v>0.4</v>
      </c>
      <c r="D23" s="112">
        <f>0.5*0.85-9%*0.85</f>
        <v>0.34849999999999998</v>
      </c>
      <c r="E23" s="112">
        <v>0.4</v>
      </c>
      <c r="F23" s="112">
        <v>0.38</v>
      </c>
      <c r="G23" s="112">
        <v>0.4</v>
      </c>
      <c r="H23" s="113">
        <v>0.35</v>
      </c>
    </row>
    <row r="24" spans="2:8" x14ac:dyDescent="0.25">
      <c r="B24" s="38"/>
      <c r="H24" s="114"/>
    </row>
    <row r="25" spans="2:8" x14ac:dyDescent="0.25">
      <c r="B25" s="104" t="s">
        <v>105</v>
      </c>
      <c r="H25" s="114"/>
    </row>
    <row r="26" spans="2:8" x14ac:dyDescent="0.25">
      <c r="B26" s="115">
        <v>2026</v>
      </c>
      <c r="C26" s="116" t="e">
        <f t="shared" ref="C26:H29" ca="1" si="1">C$78/C73</f>
        <v>#VALUE!</v>
      </c>
      <c r="D26" s="116" t="e">
        <f t="shared" ca="1" si="1"/>
        <v>#VALUE!</v>
      </c>
      <c r="E26" s="116" t="e">
        <f t="shared" si="1"/>
        <v>#REF!</v>
      </c>
      <c r="F26" s="116" t="e">
        <f t="shared" ca="1" si="1"/>
        <v>#VALUE!</v>
      </c>
      <c r="G26" s="116" t="e">
        <f t="shared" ca="1" si="1"/>
        <v>#VALUE!</v>
      </c>
      <c r="H26" s="117" t="e">
        <f t="shared" ca="1" si="1"/>
        <v>#VALUE!</v>
      </c>
    </row>
    <row r="27" spans="2:8" x14ac:dyDescent="0.25">
      <c r="B27" s="115">
        <v>2027</v>
      </c>
      <c r="C27" s="116" t="e">
        <f t="shared" ca="1" si="1"/>
        <v>#VALUE!</v>
      </c>
      <c r="D27" s="116" t="e">
        <f t="shared" ca="1" si="1"/>
        <v>#VALUE!</v>
      </c>
      <c r="E27" s="116" t="e">
        <f t="shared" si="1"/>
        <v>#REF!</v>
      </c>
      <c r="F27" s="116" t="e">
        <f t="shared" ca="1" si="1"/>
        <v>#VALUE!</v>
      </c>
      <c r="G27" s="116" t="e">
        <f t="shared" ca="1" si="1"/>
        <v>#VALUE!</v>
      </c>
      <c r="H27" s="117" t="e">
        <f t="shared" ca="1" si="1"/>
        <v>#VALUE!</v>
      </c>
    </row>
    <row r="28" spans="2:8" x14ac:dyDescent="0.25">
      <c r="B28" s="115">
        <v>2028</v>
      </c>
      <c r="C28" s="116" t="e">
        <f t="shared" ca="1" si="1"/>
        <v>#VALUE!</v>
      </c>
      <c r="D28" s="116" t="e">
        <f t="shared" ca="1" si="1"/>
        <v>#VALUE!</v>
      </c>
      <c r="E28" s="116" t="e">
        <f t="shared" si="1"/>
        <v>#REF!</v>
      </c>
      <c r="F28" s="116" t="e">
        <f t="shared" ca="1" si="1"/>
        <v>#VALUE!</v>
      </c>
      <c r="G28" s="116" t="e">
        <f t="shared" ca="1" si="1"/>
        <v>#VALUE!</v>
      </c>
      <c r="H28" s="117" t="e">
        <f t="shared" ca="1" si="1"/>
        <v>#VALUE!</v>
      </c>
    </row>
    <row r="29" spans="2:8" ht="15.75" thickBot="1" x14ac:dyDescent="0.3">
      <c r="B29" s="118">
        <v>2029</v>
      </c>
      <c r="C29" s="119" t="e">
        <f t="shared" ca="1" si="1"/>
        <v>#VALUE!</v>
      </c>
      <c r="D29" s="119" t="e">
        <f t="shared" ca="1" si="1"/>
        <v>#VALUE!</v>
      </c>
      <c r="E29" s="119" t="e">
        <f t="shared" si="1"/>
        <v>#REF!</v>
      </c>
      <c r="F29" s="119" t="e">
        <f t="shared" ca="1" si="1"/>
        <v>#VALUE!</v>
      </c>
      <c r="G29" s="119" t="e">
        <f t="shared" ca="1" si="1"/>
        <v>#VALUE!</v>
      </c>
      <c r="H29" s="120" t="e">
        <f t="shared" ca="1" si="1"/>
        <v>#VALUE!</v>
      </c>
    </row>
    <row r="30" spans="2:8" x14ac:dyDescent="0.25">
      <c r="B30" s="102"/>
      <c r="C30" s="103"/>
      <c r="D30" s="103"/>
      <c r="E30" s="103"/>
      <c r="F30" s="103"/>
      <c r="G30" s="103"/>
      <c r="H30" s="131"/>
    </row>
    <row r="31" spans="2:8" x14ac:dyDescent="0.25">
      <c r="B31" s="62" t="s">
        <v>126</v>
      </c>
      <c r="H31" s="114"/>
    </row>
    <row r="32" spans="2:8" x14ac:dyDescent="0.25">
      <c r="B32" s="38" t="s">
        <v>104</v>
      </c>
      <c r="C32" s="116">
        <f t="shared" ref="C32:H32" si="2">C82/C87</f>
        <v>8.5</v>
      </c>
      <c r="D32" s="116">
        <f t="shared" si="2"/>
        <v>22</v>
      </c>
      <c r="E32" s="116" t="e">
        <f t="shared" si="2"/>
        <v>#REF!</v>
      </c>
      <c r="F32" s="116">
        <f t="shared" si="2"/>
        <v>7</v>
      </c>
      <c r="G32" s="116">
        <f t="shared" si="2"/>
        <v>7.2742172565170842</v>
      </c>
      <c r="H32" s="117">
        <f t="shared" si="2"/>
        <v>5.6850617274069464</v>
      </c>
    </row>
    <row r="33" spans="2:8" x14ac:dyDescent="0.25">
      <c r="B33" s="38" t="s">
        <v>127</v>
      </c>
      <c r="C33" s="116">
        <f>C83/C88</f>
        <v>32.082714367583549</v>
      </c>
      <c r="D33" s="116">
        <f>D83/D88</f>
        <v>22</v>
      </c>
      <c r="E33" s="116" t="e">
        <f>E83/E88</f>
        <v>#REF!</v>
      </c>
      <c r="F33" s="116">
        <f>F83/F88</f>
        <v>37.187960166773529</v>
      </c>
      <c r="G33" s="116">
        <f>G83/G88</f>
        <v>22</v>
      </c>
      <c r="H33" s="117">
        <f>(H83-Summary!CV7)/H88</f>
        <v>21.957164506495204</v>
      </c>
    </row>
    <row r="34" spans="2:8" x14ac:dyDescent="0.25">
      <c r="B34" s="38" t="s">
        <v>128</v>
      </c>
      <c r="C34" s="116">
        <f t="shared" ref="C34:H34" si="3">C85/C54</f>
        <v>27.56793703115688</v>
      </c>
      <c r="D34" s="116">
        <f t="shared" si="3"/>
        <v>23.797735441968179</v>
      </c>
      <c r="E34" s="116" t="e">
        <f t="shared" si="3"/>
        <v>#REF!</v>
      </c>
      <c r="F34" s="116">
        <f t="shared" si="3"/>
        <v>26.064268796232401</v>
      </c>
      <c r="G34" s="116">
        <f t="shared" si="3"/>
        <v>18.25584840784942</v>
      </c>
      <c r="H34" s="117">
        <f t="shared" si="3"/>
        <v>27.285520778656686</v>
      </c>
    </row>
    <row r="35" spans="2:8" ht="15.75" thickBot="1" x14ac:dyDescent="0.3">
      <c r="B35" s="48" t="s">
        <v>129</v>
      </c>
      <c r="C35" s="119">
        <f t="shared" ref="C35:H35" si="4">C85/C76</f>
        <v>22.054349624925504</v>
      </c>
      <c r="D35" s="119">
        <f t="shared" si="4"/>
        <v>19.734707439680928</v>
      </c>
      <c r="E35" s="119" t="e">
        <f t="shared" si="4"/>
        <v>#REF!</v>
      </c>
      <c r="F35" s="119">
        <f t="shared" si="4"/>
        <v>20.577054312815054</v>
      </c>
      <c r="G35" s="119">
        <f t="shared" si="4"/>
        <v>16.430263567064479</v>
      </c>
      <c r="H35" s="120">
        <f t="shared" si="4"/>
        <v>16.761105621174821</v>
      </c>
    </row>
    <row r="37" spans="2:8" outlineLevel="1" x14ac:dyDescent="0.25">
      <c r="B37" s="99" t="s">
        <v>113</v>
      </c>
      <c r="C37" s="99"/>
      <c r="D37" s="99"/>
      <c r="E37" s="99"/>
      <c r="F37" s="99"/>
      <c r="G37" s="99"/>
      <c r="H37" s="99"/>
    </row>
    <row r="38" spans="2:8" outlineLevel="1" x14ac:dyDescent="0.25">
      <c r="B38" s="13" t="s">
        <v>0</v>
      </c>
    </row>
    <row r="39" spans="2:8" outlineLevel="1" x14ac:dyDescent="0.25">
      <c r="B39" s="97">
        <v>2026</v>
      </c>
      <c r="C39" s="20" cm="1">
        <f t="array" ref="C39:C42">TRANSPOSE(Summary!S49:V49)</f>
        <v>1394.7843379999999</v>
      </c>
      <c r="D39" s="20" cm="1">
        <f t="array" ref="D39:D42">TRANSPOSE(Summary!S27:V27)</f>
        <v>2766.5202184429131</v>
      </c>
      <c r="E39" s="20" t="e" cm="1">
        <f t="array" ref="E39">TRANSPOSE(Summary!#REF!)</f>
        <v>#REF!</v>
      </c>
      <c r="F39" s="20" cm="1">
        <f t="array" ref="F39:F42">TRANSPOSE(Summary!S47:V47)</f>
        <v>1507.6602600000001</v>
      </c>
      <c r="G39" s="20" cm="1">
        <f t="array" ref="G39:G42">TRANSPOSE(Summary!S9:V9)</f>
        <v>40273.14</v>
      </c>
      <c r="H39" s="20" cm="1">
        <f t="array" ref="H39:H42">TRANSPOSE(Summary!S7:V7)</f>
        <v>10723.337173472532</v>
      </c>
    </row>
    <row r="40" spans="2:8" outlineLevel="1" x14ac:dyDescent="0.25">
      <c r="B40" s="97">
        <v>2027</v>
      </c>
      <c r="C40" s="20">
        <v>1657.59234956</v>
      </c>
      <c r="D40" s="20">
        <v>3355.8447437291056</v>
      </c>
      <c r="E40" s="20"/>
      <c r="F40" s="20">
        <v>1703.6560938</v>
      </c>
      <c r="G40" s="20">
        <v>45307.1345</v>
      </c>
      <c r="H40" s="20">
        <v>11959.266078079638</v>
      </c>
    </row>
    <row r="41" spans="2:8" outlineLevel="1" x14ac:dyDescent="0.25">
      <c r="B41" s="97">
        <v>2028</v>
      </c>
      <c r="C41" s="20">
        <v>1941.5146442471751</v>
      </c>
      <c r="D41" s="20">
        <v>3937.7107749017882</v>
      </c>
      <c r="E41" s="20"/>
      <c r="F41" s="20">
        <v>1908.0948250560002</v>
      </c>
      <c r="G41" s="20">
        <v>50851.130094</v>
      </c>
      <c r="H41" s="20">
        <v>13226.359620127845</v>
      </c>
    </row>
    <row r="42" spans="2:8" outlineLevel="1" x14ac:dyDescent="0.25">
      <c r="B42" s="97">
        <v>2029</v>
      </c>
      <c r="C42" s="20">
        <v>2243.9025321750023</v>
      </c>
      <c r="D42" s="20">
        <v>4525.3813441566444</v>
      </c>
      <c r="E42" s="20"/>
      <c r="F42" s="20">
        <v>2127.5257299374402</v>
      </c>
      <c r="G42" s="20">
        <v>56381.116424600004</v>
      </c>
      <c r="H42" s="20">
        <v>14542.970161682069</v>
      </c>
    </row>
    <row r="43" spans="2:8" outlineLevel="1" x14ac:dyDescent="0.25"/>
    <row r="44" spans="2:8" outlineLevel="1" x14ac:dyDescent="0.25">
      <c r="B44" s="13" t="s">
        <v>112</v>
      </c>
    </row>
    <row r="45" spans="2:8" outlineLevel="1" x14ac:dyDescent="0.25">
      <c r="B45" s="97">
        <v>2026</v>
      </c>
      <c r="C45" s="98">
        <f t="shared" ref="C45:H48" si="5">C39*C$13</f>
        <v>446.33098816</v>
      </c>
      <c r="D45" s="98">
        <f t="shared" si="5"/>
        <v>799.52434313000185</v>
      </c>
      <c r="E45" s="98" t="e">
        <f t="shared" si="5"/>
        <v>#REF!</v>
      </c>
      <c r="F45" s="98">
        <f t="shared" si="5"/>
        <v>452.29807800000009</v>
      </c>
      <c r="G45" s="98">
        <f t="shared" si="5"/>
        <v>14498.330399999999</v>
      </c>
      <c r="H45" s="98">
        <f t="shared" si="5"/>
        <v>2305.5174922965939</v>
      </c>
    </row>
    <row r="46" spans="2:8" outlineLevel="1" x14ac:dyDescent="0.25">
      <c r="B46" s="97">
        <v>2027</v>
      </c>
      <c r="C46" s="98">
        <f t="shared" si="5"/>
        <v>530.42955185920005</v>
      </c>
      <c r="D46" s="98">
        <f t="shared" si="5"/>
        <v>969.8391309377115</v>
      </c>
      <c r="E46" s="98">
        <f t="shared" si="5"/>
        <v>0</v>
      </c>
      <c r="F46" s="98">
        <f t="shared" si="5"/>
        <v>511.09682814000007</v>
      </c>
      <c r="G46" s="98">
        <f t="shared" si="5"/>
        <v>16310.56842</v>
      </c>
      <c r="H46" s="98">
        <f t="shared" si="5"/>
        <v>2571.2422067871216</v>
      </c>
    </row>
    <row r="47" spans="2:8" outlineLevel="1" x14ac:dyDescent="0.25">
      <c r="B47" s="97">
        <v>2028</v>
      </c>
      <c r="C47" s="98">
        <f t="shared" si="5"/>
        <v>621.28468615909605</v>
      </c>
      <c r="D47" s="98">
        <f t="shared" si="5"/>
        <v>1137.9984139466167</v>
      </c>
      <c r="E47" s="98">
        <f t="shared" si="5"/>
        <v>0</v>
      </c>
      <c r="F47" s="98">
        <f t="shared" si="5"/>
        <v>572.42844751680013</v>
      </c>
      <c r="G47" s="98">
        <f t="shared" si="5"/>
        <v>18306.406833839999</v>
      </c>
      <c r="H47" s="98">
        <f t="shared" si="5"/>
        <v>2843.6673183274861</v>
      </c>
    </row>
    <row r="48" spans="2:8" outlineLevel="1" x14ac:dyDescent="0.25">
      <c r="B48" s="97">
        <v>2029</v>
      </c>
      <c r="C48" s="98">
        <f t="shared" si="5"/>
        <v>718.04881029600074</v>
      </c>
      <c r="D48" s="98">
        <f t="shared" si="5"/>
        <v>1307.8352084612702</v>
      </c>
      <c r="E48" s="98">
        <f t="shared" si="5"/>
        <v>0</v>
      </c>
      <c r="F48" s="98">
        <f t="shared" si="5"/>
        <v>638.25771898123219</v>
      </c>
      <c r="G48" s="98">
        <f t="shared" si="5"/>
        <v>20297.201912856002</v>
      </c>
      <c r="H48" s="98">
        <f t="shared" si="5"/>
        <v>3126.7385847616447</v>
      </c>
    </row>
    <row r="49" spans="2:8" outlineLevel="1" x14ac:dyDescent="0.25"/>
    <row r="50" spans="2:8" outlineLevel="1" x14ac:dyDescent="0.25">
      <c r="B50" s="13" t="s">
        <v>110</v>
      </c>
    </row>
    <row r="51" spans="2:8" outlineLevel="1" x14ac:dyDescent="0.25">
      <c r="B51" s="97">
        <v>2026</v>
      </c>
      <c r="C51" s="20">
        <f t="shared" ref="C51:H54" si="6">C45*(1-C$15)</f>
        <v>365.99141029120005</v>
      </c>
      <c r="D51" s="20">
        <f t="shared" si="6"/>
        <v>655.60996136660162</v>
      </c>
      <c r="E51" s="20" t="e">
        <f t="shared" si="6"/>
        <v>#REF!</v>
      </c>
      <c r="F51" s="20">
        <f t="shared" si="6"/>
        <v>370.88442396000011</v>
      </c>
      <c r="G51" s="20">
        <f t="shared" si="6"/>
        <v>11888.630928</v>
      </c>
      <c r="H51" s="20">
        <f t="shared" si="6"/>
        <v>1890.5243436832072</v>
      </c>
    </row>
    <row r="52" spans="2:8" outlineLevel="1" x14ac:dyDescent="0.25">
      <c r="B52" s="97">
        <v>2027</v>
      </c>
      <c r="C52" s="20">
        <f t="shared" si="6"/>
        <v>434.95223252454406</v>
      </c>
      <c r="D52" s="20">
        <f t="shared" si="6"/>
        <v>795.26808736892349</v>
      </c>
      <c r="E52" s="20">
        <f t="shared" si="6"/>
        <v>0</v>
      </c>
      <c r="F52" s="20">
        <f t="shared" si="6"/>
        <v>419.09939907480009</v>
      </c>
      <c r="G52" s="20">
        <f t="shared" si="6"/>
        <v>13374.666104400001</v>
      </c>
      <c r="H52" s="20">
        <f t="shared" si="6"/>
        <v>2108.41860956544</v>
      </c>
    </row>
    <row r="53" spans="2:8" outlineLevel="1" x14ac:dyDescent="0.25">
      <c r="B53" s="97">
        <v>2028</v>
      </c>
      <c r="C53" s="20">
        <f t="shared" si="6"/>
        <v>509.45344265045878</v>
      </c>
      <c r="D53" s="20">
        <f t="shared" si="6"/>
        <v>933.15869943622579</v>
      </c>
      <c r="E53" s="20">
        <f t="shared" si="6"/>
        <v>0</v>
      </c>
      <c r="F53" s="20">
        <f t="shared" si="6"/>
        <v>469.39132696377612</v>
      </c>
      <c r="G53" s="20">
        <f t="shared" si="6"/>
        <v>15011.253603748801</v>
      </c>
      <c r="H53" s="20">
        <f t="shared" si="6"/>
        <v>2331.8072010285387</v>
      </c>
    </row>
    <row r="54" spans="2:8" outlineLevel="1" x14ac:dyDescent="0.25">
      <c r="B54" s="97">
        <v>2029</v>
      </c>
      <c r="C54" s="20">
        <f t="shared" si="6"/>
        <v>588.80002444272066</v>
      </c>
      <c r="D54" s="20">
        <f t="shared" si="6"/>
        <v>1072.4248709382416</v>
      </c>
      <c r="E54" s="20">
        <f t="shared" si="6"/>
        <v>0</v>
      </c>
      <c r="F54" s="20">
        <f t="shared" si="6"/>
        <v>523.37132956461039</v>
      </c>
      <c r="G54" s="20">
        <f t="shared" si="6"/>
        <v>16643.705568541922</v>
      </c>
      <c r="H54" s="20">
        <f t="shared" si="6"/>
        <v>2563.9256395045491</v>
      </c>
    </row>
    <row r="55" spans="2:8" outlineLevel="1" x14ac:dyDescent="0.25"/>
    <row r="56" spans="2:8" outlineLevel="1" x14ac:dyDescent="0.25">
      <c r="B56" t="s">
        <v>111</v>
      </c>
      <c r="C56" s="20" t="e">
        <f ca="1">Summary!H49*Summary!I49</f>
        <v>#VALUE!</v>
      </c>
      <c r="D56" s="20" t="e">
        <f ca="1">Summary!H27*Summary!I27</f>
        <v>#VALUE!</v>
      </c>
      <c r="E56" s="20" t="e">
        <f>Summary!#REF!*Summary!#REF!</f>
        <v>#REF!</v>
      </c>
      <c r="F56" s="20" t="e">
        <f ca="1">Summary!H47*Summary!I47</f>
        <v>#VALUE!</v>
      </c>
      <c r="G56" s="20" t="e">
        <f ca="1">Summary!H9*Summary!I9</f>
        <v>#VALUE!</v>
      </c>
      <c r="H56" s="20" t="e">
        <f ca="1">Summary!H7*Summary!I7</f>
        <v>#VALUE!</v>
      </c>
    </row>
    <row r="57" spans="2:8" outlineLevel="1" x14ac:dyDescent="0.25">
      <c r="B57" s="97"/>
    </row>
    <row r="58" spans="2:8" outlineLevel="1" x14ac:dyDescent="0.25">
      <c r="B58" s="99" t="s">
        <v>114</v>
      </c>
      <c r="C58" s="99"/>
      <c r="D58" s="99"/>
      <c r="E58" s="99"/>
      <c r="F58" s="99"/>
      <c r="G58" s="99"/>
      <c r="H58" s="99"/>
    </row>
    <row r="59" spans="2:8" outlineLevel="1" x14ac:dyDescent="0.25">
      <c r="B59" s="97"/>
    </row>
    <row r="60" spans="2:8" outlineLevel="1" x14ac:dyDescent="0.25">
      <c r="B60" s="13" t="s">
        <v>0</v>
      </c>
    </row>
    <row r="61" spans="2:8" outlineLevel="1" x14ac:dyDescent="0.25">
      <c r="B61" s="97">
        <v>2026</v>
      </c>
      <c r="C61" s="98">
        <f t="shared" ref="C61:H64" si="7">C39</f>
        <v>1394.7843379999999</v>
      </c>
      <c r="D61" s="98">
        <f t="shared" si="7"/>
        <v>2766.5202184429131</v>
      </c>
      <c r="E61" s="98" t="e">
        <f t="shared" si="7"/>
        <v>#REF!</v>
      </c>
      <c r="F61" s="98">
        <f t="shared" si="7"/>
        <v>1507.6602600000001</v>
      </c>
      <c r="G61" s="98">
        <f t="shared" si="7"/>
        <v>40273.14</v>
      </c>
      <c r="H61" s="98">
        <f t="shared" si="7"/>
        <v>10723.337173472532</v>
      </c>
    </row>
    <row r="62" spans="2:8" outlineLevel="1" x14ac:dyDescent="0.25">
      <c r="B62" s="97">
        <v>2027</v>
      </c>
      <c r="C62" s="98">
        <f t="shared" si="7"/>
        <v>1657.59234956</v>
      </c>
      <c r="D62" s="98">
        <f t="shared" si="7"/>
        <v>3355.8447437291056</v>
      </c>
      <c r="E62" s="98">
        <f t="shared" si="7"/>
        <v>0</v>
      </c>
      <c r="F62" s="98">
        <f t="shared" si="7"/>
        <v>1703.6560938</v>
      </c>
      <c r="G62" s="98">
        <f t="shared" si="7"/>
        <v>45307.1345</v>
      </c>
      <c r="H62" s="98">
        <f t="shared" si="7"/>
        <v>11959.266078079638</v>
      </c>
    </row>
    <row r="63" spans="2:8" outlineLevel="1" x14ac:dyDescent="0.25">
      <c r="B63" s="97">
        <v>2028</v>
      </c>
      <c r="C63" s="98">
        <f t="shared" si="7"/>
        <v>1941.5146442471751</v>
      </c>
      <c r="D63" s="98">
        <f t="shared" si="7"/>
        <v>3937.7107749017882</v>
      </c>
      <c r="E63" s="98">
        <f t="shared" si="7"/>
        <v>0</v>
      </c>
      <c r="F63" s="98">
        <f t="shared" si="7"/>
        <v>1908.0948250560002</v>
      </c>
      <c r="G63" s="98">
        <f t="shared" si="7"/>
        <v>50851.130094</v>
      </c>
      <c r="H63" s="98">
        <f t="shared" si="7"/>
        <v>13226.359620127845</v>
      </c>
    </row>
    <row r="64" spans="2:8" outlineLevel="1" x14ac:dyDescent="0.25">
      <c r="B64" s="97">
        <v>2029</v>
      </c>
      <c r="C64" s="98">
        <f t="shared" si="7"/>
        <v>2243.9025321750023</v>
      </c>
      <c r="D64" s="98">
        <f t="shared" si="7"/>
        <v>4525.3813441566444</v>
      </c>
      <c r="E64" s="98">
        <f t="shared" si="7"/>
        <v>0</v>
      </c>
      <c r="F64" s="98">
        <f t="shared" si="7"/>
        <v>2127.5257299374402</v>
      </c>
      <c r="G64" s="98">
        <f t="shared" si="7"/>
        <v>56381.116424600004</v>
      </c>
      <c r="H64" s="98">
        <f t="shared" si="7"/>
        <v>14542.970161682069</v>
      </c>
    </row>
    <row r="65" spans="2:8" outlineLevel="1" x14ac:dyDescent="0.25"/>
    <row r="66" spans="2:8" outlineLevel="1" x14ac:dyDescent="0.25">
      <c r="B66" s="13" t="s">
        <v>112</v>
      </c>
    </row>
    <row r="67" spans="2:8" outlineLevel="1" x14ac:dyDescent="0.25">
      <c r="B67" s="97">
        <v>2026</v>
      </c>
      <c r="C67" s="98">
        <f t="shared" ref="C67:H70" si="8">C$23*C61</f>
        <v>557.91373520000002</v>
      </c>
      <c r="D67" s="98">
        <f t="shared" si="8"/>
        <v>964.13229612735518</v>
      </c>
      <c r="E67" s="98" t="e">
        <f t="shared" si="8"/>
        <v>#REF!</v>
      </c>
      <c r="F67" s="98">
        <f t="shared" si="8"/>
        <v>572.91089880000004</v>
      </c>
      <c r="G67" s="98">
        <f t="shared" si="8"/>
        <v>16109.256000000001</v>
      </c>
      <c r="H67" s="98">
        <f t="shared" si="8"/>
        <v>3753.1680107153857</v>
      </c>
    </row>
    <row r="68" spans="2:8" outlineLevel="1" x14ac:dyDescent="0.25">
      <c r="B68" s="97">
        <v>2027</v>
      </c>
      <c r="C68" s="98">
        <f t="shared" si="8"/>
        <v>663.036939824</v>
      </c>
      <c r="D68" s="98">
        <f t="shared" si="8"/>
        <v>1169.5118931895931</v>
      </c>
      <c r="E68" s="98">
        <f t="shared" si="8"/>
        <v>0</v>
      </c>
      <c r="F68" s="98">
        <f t="shared" si="8"/>
        <v>647.38931564400002</v>
      </c>
      <c r="G68" s="98">
        <f t="shared" si="8"/>
        <v>18122.853800000001</v>
      </c>
      <c r="H68" s="98">
        <f t="shared" si="8"/>
        <v>4185.7431273278726</v>
      </c>
    </row>
    <row r="69" spans="2:8" outlineLevel="1" x14ac:dyDescent="0.25">
      <c r="B69" s="97">
        <v>2028</v>
      </c>
      <c r="C69" s="98">
        <f t="shared" si="8"/>
        <v>776.60585769887007</v>
      </c>
      <c r="D69" s="98">
        <f t="shared" si="8"/>
        <v>1372.2922050532732</v>
      </c>
      <c r="E69" s="98">
        <f t="shared" si="8"/>
        <v>0</v>
      </c>
      <c r="F69" s="98">
        <f t="shared" si="8"/>
        <v>725.07603352128012</v>
      </c>
      <c r="G69" s="98">
        <f t="shared" si="8"/>
        <v>20340.4520376</v>
      </c>
      <c r="H69" s="98">
        <f t="shared" si="8"/>
        <v>4629.2258670447454</v>
      </c>
    </row>
    <row r="70" spans="2:8" outlineLevel="1" x14ac:dyDescent="0.25">
      <c r="B70" s="97">
        <v>2029</v>
      </c>
      <c r="C70" s="98">
        <f t="shared" si="8"/>
        <v>897.56101287000092</v>
      </c>
      <c r="D70" s="98">
        <f t="shared" si="8"/>
        <v>1577.0953984385906</v>
      </c>
      <c r="E70" s="98">
        <f t="shared" si="8"/>
        <v>0</v>
      </c>
      <c r="F70" s="98">
        <f t="shared" si="8"/>
        <v>808.45977737622729</v>
      </c>
      <c r="G70" s="98">
        <f t="shared" si="8"/>
        <v>22552.446569840002</v>
      </c>
      <c r="H70" s="98">
        <f t="shared" si="8"/>
        <v>5090.0395565887238</v>
      </c>
    </row>
    <row r="71" spans="2:8" outlineLevel="1" x14ac:dyDescent="0.25"/>
    <row r="72" spans="2:8" outlineLevel="1" x14ac:dyDescent="0.25">
      <c r="B72" s="13" t="s">
        <v>110</v>
      </c>
    </row>
    <row r="73" spans="2:8" outlineLevel="1" x14ac:dyDescent="0.25">
      <c r="B73" s="97">
        <v>2026</v>
      </c>
      <c r="C73" s="98">
        <f t="shared" ref="C73:H76" si="9">C67*(1-C$15)</f>
        <v>457.48926286400007</v>
      </c>
      <c r="D73" s="98">
        <f t="shared" si="9"/>
        <v>790.58848282443125</v>
      </c>
      <c r="E73" s="98" t="e">
        <f t="shared" si="9"/>
        <v>#REF!</v>
      </c>
      <c r="F73" s="98">
        <f t="shared" si="9"/>
        <v>469.78693701600008</v>
      </c>
      <c r="G73" s="98">
        <f t="shared" si="9"/>
        <v>13209.589920000002</v>
      </c>
      <c r="H73" s="98">
        <f t="shared" si="9"/>
        <v>3077.5977687866166</v>
      </c>
    </row>
    <row r="74" spans="2:8" outlineLevel="1" x14ac:dyDescent="0.25">
      <c r="B74" s="97">
        <v>2027</v>
      </c>
      <c r="C74" s="98">
        <f t="shared" si="9"/>
        <v>543.69029065568009</v>
      </c>
      <c r="D74" s="98">
        <f t="shared" si="9"/>
        <v>958.99975241546645</v>
      </c>
      <c r="E74" s="98">
        <f t="shared" si="9"/>
        <v>0</v>
      </c>
      <c r="F74" s="98">
        <f t="shared" si="9"/>
        <v>530.85923882808004</v>
      </c>
      <c r="G74" s="98">
        <f t="shared" si="9"/>
        <v>14860.740116000001</v>
      </c>
      <c r="H74" s="98">
        <f t="shared" si="9"/>
        <v>3432.3093644088558</v>
      </c>
    </row>
    <row r="75" spans="2:8" outlineLevel="1" x14ac:dyDescent="0.25">
      <c r="B75" s="97">
        <v>2028</v>
      </c>
      <c r="C75" s="98">
        <f t="shared" si="9"/>
        <v>636.81680331307348</v>
      </c>
      <c r="D75" s="98">
        <f t="shared" si="9"/>
        <v>1125.2796081436841</v>
      </c>
      <c r="E75" s="98">
        <f t="shared" si="9"/>
        <v>0</v>
      </c>
      <c r="F75" s="98">
        <f t="shared" si="9"/>
        <v>594.56234748744976</v>
      </c>
      <c r="G75" s="98">
        <f t="shared" si="9"/>
        <v>16679.170670832002</v>
      </c>
      <c r="H75" s="98">
        <f t="shared" si="9"/>
        <v>3795.9652109766917</v>
      </c>
    </row>
    <row r="76" spans="2:8" outlineLevel="1" x14ac:dyDescent="0.25">
      <c r="B76" s="97">
        <v>2029</v>
      </c>
      <c r="C76" s="98">
        <f t="shared" si="9"/>
        <v>736.00003055340085</v>
      </c>
      <c r="D76" s="98">
        <f t="shared" si="9"/>
        <v>1293.2182267196445</v>
      </c>
      <c r="E76" s="98">
        <f t="shared" si="9"/>
        <v>0</v>
      </c>
      <c r="F76" s="98">
        <f t="shared" si="9"/>
        <v>662.93701744850648</v>
      </c>
      <c r="G76" s="98">
        <f t="shared" si="9"/>
        <v>18493.006187268802</v>
      </c>
      <c r="H76" s="98">
        <f t="shared" si="9"/>
        <v>4173.832436402754</v>
      </c>
    </row>
    <row r="77" spans="2:8" outlineLevel="1" x14ac:dyDescent="0.25"/>
    <row r="78" spans="2:8" outlineLevel="1" x14ac:dyDescent="0.25">
      <c r="B78" t="s">
        <v>111</v>
      </c>
      <c r="C78" s="98" t="e">
        <f t="shared" ref="C78:H78" ca="1" si="10">C56</f>
        <v>#VALUE!</v>
      </c>
      <c r="D78" s="98" t="e">
        <f t="shared" ca="1" si="10"/>
        <v>#VALUE!</v>
      </c>
      <c r="E78" s="98" t="e">
        <f t="shared" si="10"/>
        <v>#REF!</v>
      </c>
      <c r="F78" s="98" t="e">
        <f t="shared" ca="1" si="10"/>
        <v>#VALUE!</v>
      </c>
      <c r="G78" s="98" t="e">
        <f t="shared" ca="1" si="10"/>
        <v>#VALUE!</v>
      </c>
      <c r="H78" s="98" t="e">
        <f t="shared" ca="1" si="10"/>
        <v>#VALUE!</v>
      </c>
    </row>
    <row r="79" spans="2:8" outlineLevel="1" x14ac:dyDescent="0.25"/>
    <row r="80" spans="2:8" outlineLevel="1" x14ac:dyDescent="0.25">
      <c r="B80" s="99" t="s">
        <v>115</v>
      </c>
      <c r="C80" s="99"/>
      <c r="D80" s="99"/>
      <c r="E80" s="99"/>
      <c r="F80" s="99"/>
      <c r="G80" s="99"/>
      <c r="H80" s="99"/>
    </row>
    <row r="81" spans="2:8" outlineLevel="1" x14ac:dyDescent="0.25"/>
    <row r="82" spans="2:8" outlineLevel="1" x14ac:dyDescent="0.25">
      <c r="B82" t="s">
        <v>116</v>
      </c>
      <c r="C82" s="20">
        <f>Summary!CZ49</f>
        <v>15526.045997780553</v>
      </c>
      <c r="D82" s="20">
        <f>Summary!CZ27</f>
        <v>84624.631135729258</v>
      </c>
      <c r="E82" s="20" t="e">
        <f>Summary!#REF!</f>
        <v>#REF!</v>
      </c>
      <c r="F82" s="20">
        <f>Summary!CZ47</f>
        <v>12858.591014013538</v>
      </c>
      <c r="G82" s="20">
        <f>Summary!CZ9</f>
        <v>305681.9658041806</v>
      </c>
      <c r="H82" s="20">
        <f>Summary!CZ7</f>
        <v>67502.046311632002</v>
      </c>
    </row>
    <row r="83" spans="2:8" outlineLevel="1" x14ac:dyDescent="0.25">
      <c r="B83" t="s">
        <v>119</v>
      </c>
      <c r="C83" s="75">
        <f>Summary!CP49</f>
        <v>196.51476612841853</v>
      </c>
      <c r="D83" s="75">
        <f>Summary!CP27</f>
        <v>44.161726051562127</v>
      </c>
      <c r="E83" s="100" t="e">
        <f>Summary!#REF!</f>
        <v>#REF!</v>
      </c>
      <c r="F83" s="75">
        <f>Summary!CP47</f>
        <v>89.154683063401521</v>
      </c>
      <c r="G83" s="100">
        <f>Summary!CP9</f>
        <v>273.51439780139469</v>
      </c>
      <c r="H83" s="100">
        <f>Summary!CP7</f>
        <v>281.87397128700422</v>
      </c>
    </row>
    <row r="84" spans="2:8" outlineLevel="1" x14ac:dyDescent="0.25">
      <c r="B84" t="s">
        <v>120</v>
      </c>
      <c r="C84" s="20">
        <f>Summary!DE49</f>
        <v>82.599401142066142</v>
      </c>
      <c r="D84" s="20">
        <f>Summary!DE27</f>
        <v>577.90502414188097</v>
      </c>
      <c r="E84" s="20" t="e">
        <f>Summary!#REF!</f>
        <v>#REF!</v>
      </c>
      <c r="F84" s="20">
        <f>Summary!DE47</f>
        <v>153.00700473930979</v>
      </c>
      <c r="G84" s="20">
        <f>Summary!DE9</f>
        <v>1110.8920343740356</v>
      </c>
      <c r="H84" s="20">
        <f>Summary!DE7</f>
        <v>248.1890966810862</v>
      </c>
    </row>
    <row r="85" spans="2:8" outlineLevel="1" x14ac:dyDescent="0.25">
      <c r="B85" t="s">
        <v>118</v>
      </c>
      <c r="C85" s="20">
        <f t="shared" ref="C85:H85" si="11">C84*C83</f>
        <v>16232.001997780555</v>
      </c>
      <c r="D85" s="20">
        <f t="shared" si="11"/>
        <v>25521.283359975143</v>
      </c>
      <c r="E85" s="20" t="e">
        <f t="shared" si="11"/>
        <v>#REF!</v>
      </c>
      <c r="F85" s="20">
        <f t="shared" si="11"/>
        <v>13641.291014013539</v>
      </c>
      <c r="G85" s="20">
        <f t="shared" si="11"/>
        <v>303844.9658041806</v>
      </c>
      <c r="H85" s="20">
        <f t="shared" si="11"/>
        <v>69958.046311632002</v>
      </c>
    </row>
    <row r="86" spans="2:8" outlineLevel="1" x14ac:dyDescent="0.25"/>
    <row r="87" spans="2:8" outlineLevel="1" x14ac:dyDescent="0.25">
      <c r="B87" t="s">
        <v>117</v>
      </c>
      <c r="C87" s="20">
        <f>Summary!AN49</f>
        <v>1826.5936467977122</v>
      </c>
      <c r="D87" s="20">
        <f>Summary!AN27</f>
        <v>3846.574142533148</v>
      </c>
      <c r="E87" s="20" t="e">
        <f>Summary!#REF!</f>
        <v>#REF!</v>
      </c>
      <c r="F87" s="20">
        <f>Summary!AN47</f>
        <v>1836.9415734305055</v>
      </c>
      <c r="G87" s="20">
        <f>Summary!AN9</f>
        <v>42022.660999066997</v>
      </c>
      <c r="H87" s="20">
        <f>Summary!AN7</f>
        <v>11873.581950080397</v>
      </c>
    </row>
    <row r="88" spans="2:8" x14ac:dyDescent="0.25">
      <c r="B88" t="s">
        <v>130</v>
      </c>
      <c r="C88" s="75">
        <f>Summary!BF49</f>
        <v>6.1252537387228525</v>
      </c>
      <c r="D88" s="75">
        <f>Summary!BF27</f>
        <v>2.0073511841619149</v>
      </c>
      <c r="E88" s="75" t="e">
        <f>Summary!#REF!</f>
        <v>#REF!</v>
      </c>
      <c r="F88" s="75">
        <f>Summary!BF47</f>
        <v>2.3974071894123115</v>
      </c>
      <c r="G88">
        <f>Summary!BF9</f>
        <v>12.432472627336123</v>
      </c>
      <c r="H88" s="75">
        <f>Summary!BF7</f>
        <v>12.341412845554347</v>
      </c>
    </row>
  </sheetData>
  <conditionalFormatting sqref="C8:H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H2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6:H29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3:H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3A555-C87F-4348-96C6-B576A163DFA3}">
  <dimension ref="A1:EO56"/>
  <sheetViews>
    <sheetView showGridLines="0" zoomScale="85" zoomScaleNormal="85" zoomScaleSheetLayoutView="100" workbookViewId="0">
      <pane xSplit="4" ySplit="5" topLeftCell="E6" activePane="bottomRight" state="frozen"/>
      <selection pane="topRight" activeCell="D1" sqref="D1"/>
      <selection pane="bottomLeft" activeCell="A5" sqref="A5"/>
      <selection pane="bottomRight" activeCell="BZ6" sqref="BZ6"/>
    </sheetView>
  </sheetViews>
  <sheetFormatPr defaultRowHeight="15" outlineLevelRow="1" outlineLevelCol="3" x14ac:dyDescent="0.25"/>
  <cols>
    <col min="1" max="1" width="4.7109375" customWidth="1"/>
    <col min="2" max="3" width="17.42578125" customWidth="1" outlineLevel="1"/>
    <col min="4" max="4" width="24.5703125" customWidth="1"/>
    <col min="5" max="5" width="4.7109375" customWidth="1"/>
    <col min="6" max="7" width="10.7109375" customWidth="1" outlineLevel="2"/>
    <col min="8" max="8" width="9.7109375" customWidth="1" outlineLevel="1"/>
    <col min="9" max="9" width="8.7109375" hidden="1" customWidth="1" outlineLevel="3"/>
    <col min="10" max="10" width="9.7109375" hidden="1" customWidth="1" outlineLevel="3"/>
    <col min="11" max="11" width="9" hidden="1" customWidth="1" outlineLevel="3"/>
    <col min="12" max="13" width="8.7109375" hidden="1" customWidth="1" outlineLevel="3"/>
    <col min="14" max="14" width="11.140625" hidden="1" customWidth="1" outlineLevel="3"/>
    <col min="15" max="20" width="9.5703125" hidden="1" customWidth="1" outlineLevel="3"/>
    <col min="21" max="23" width="11.140625" hidden="1" customWidth="1" outlineLevel="3"/>
    <col min="24" max="32" width="8.7109375" hidden="1" customWidth="1" outlineLevel="3"/>
    <col min="33" max="41" width="9.5703125" hidden="1" customWidth="1" outlineLevel="3"/>
    <col min="42" max="59" width="8.7109375" hidden="1" customWidth="1" outlineLevel="3"/>
    <col min="60" max="60" width="8.7109375" hidden="1" customWidth="1" outlineLevel="3" collapsed="1"/>
    <col min="61" max="66" width="8.7109375" hidden="1" customWidth="1" outlineLevel="3"/>
    <col min="67" max="67" width="8.7109375" customWidth="1" outlineLevel="2" collapsed="1"/>
    <col min="68" max="68" width="8.7109375" customWidth="1" outlineLevel="2"/>
    <col min="69" max="76" width="8.7109375" hidden="1" customWidth="1" outlineLevel="3"/>
    <col min="77" max="77" width="8.7109375" customWidth="1" outlineLevel="2" collapsed="1"/>
    <col min="78" max="81" width="8.7109375" customWidth="1" outlineLevel="2"/>
    <col min="82" max="82" width="32.5703125" hidden="1" customWidth="1" outlineLevel="3"/>
    <col min="83" max="83" width="8.7109375" hidden="1" customWidth="1" outlineLevel="3" collapsed="1"/>
    <col min="84" max="84" width="8.7109375" hidden="1" customWidth="1" outlineLevel="3"/>
    <col min="85" max="85" width="10.42578125" customWidth="1" outlineLevel="2" collapsed="1"/>
    <col min="86" max="86" width="10.42578125" customWidth="1" outlineLevel="2"/>
    <col min="87" max="87" width="8.7109375" hidden="1" customWidth="1" outlineLevel="3"/>
    <col min="88" max="88" width="8.7109375" hidden="1" customWidth="1" outlineLevel="3" collapsed="1"/>
    <col min="89" max="92" width="8.7109375" hidden="1" customWidth="1" outlineLevel="3"/>
    <col min="93" max="96" width="10.28515625" hidden="1" customWidth="1" outlineLevel="3"/>
    <col min="97" max="97" width="9.5703125" hidden="1" customWidth="1" outlineLevel="3"/>
    <col min="98" max="124" width="8.7109375" hidden="1" customWidth="1" outlineLevel="3"/>
    <col min="125" max="125" width="8.7109375" customWidth="1" outlineLevel="2" collapsed="1"/>
    <col min="126" max="132" width="8.7109375" customWidth="1" outlineLevel="2"/>
    <col min="133" max="133" width="10.140625" customWidth="1" outlineLevel="2" collapsed="1"/>
    <col min="134" max="135" width="10.140625" customWidth="1" outlineLevel="2"/>
    <col min="136" max="144" width="10.140625" customWidth="1" outlineLevel="1"/>
  </cols>
  <sheetData>
    <row r="1" spans="2:145" x14ac:dyDescent="0.25">
      <c r="D1" t="s">
        <v>27</v>
      </c>
      <c r="F1" s="14">
        <f ca="1">TODAY()</f>
        <v>46183</v>
      </c>
      <c r="CN1" s="1">
        <f ca="1">TODAY()</f>
        <v>46183</v>
      </c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>
        <v>46387</v>
      </c>
      <c r="DV1" s="1">
        <f>DU1+365</f>
        <v>46752</v>
      </c>
      <c r="DW1" s="1">
        <f>DV1+365</f>
        <v>47117</v>
      </c>
      <c r="DX1" s="1">
        <f>DW1+365</f>
        <v>47482</v>
      </c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</row>
    <row r="2" spans="2:145" x14ac:dyDescent="0.25">
      <c r="DU2" s="28">
        <f ca="1">(DU1-$F$1)/365</f>
        <v>0.55890410958904113</v>
      </c>
      <c r="DV2" s="28">
        <f ca="1">(DV1-$F$1)/365</f>
        <v>1.558904109589041</v>
      </c>
      <c r="DW2" s="28">
        <f ca="1">(DW1-$F$1)/365</f>
        <v>2.558904109589041</v>
      </c>
      <c r="DX2" s="28">
        <f ca="1">(DX1-$F$1)/365</f>
        <v>3.558904109589041</v>
      </c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</row>
    <row r="3" spans="2:145" ht="15.75" thickBot="1" x14ac:dyDescent="0.3">
      <c r="DE3" s="197"/>
      <c r="DF3" s="197"/>
      <c r="DG3" s="197"/>
      <c r="DH3" s="197"/>
      <c r="DU3" s="141"/>
      <c r="DV3" s="141"/>
      <c r="DW3" s="141"/>
      <c r="DX3" s="141"/>
      <c r="EC3" s="141"/>
      <c r="ED3" s="141"/>
      <c r="EE3" s="141"/>
      <c r="EF3" s="141"/>
      <c r="EG3" s="141"/>
      <c r="EH3" s="141"/>
      <c r="EI3" s="141"/>
      <c r="EJ3" s="141"/>
      <c r="EK3" s="141"/>
      <c r="EL3" s="141"/>
      <c r="EM3" s="141"/>
      <c r="EN3" s="141"/>
    </row>
    <row r="4" spans="2:145" ht="17.25" x14ac:dyDescent="0.4">
      <c r="D4" s="248">
        <v>46161</v>
      </c>
      <c r="E4" s="288"/>
      <c r="F4" s="29"/>
      <c r="G4" s="29"/>
      <c r="H4" s="29"/>
      <c r="I4" s="29"/>
      <c r="J4" s="29"/>
      <c r="K4" s="29"/>
      <c r="L4" s="29"/>
      <c r="M4" s="29"/>
      <c r="N4" s="29"/>
      <c r="O4" s="30" t="s">
        <v>0</v>
      </c>
      <c r="P4" s="30"/>
      <c r="Q4" s="30"/>
      <c r="R4" s="30"/>
      <c r="S4" s="30"/>
      <c r="T4" s="30"/>
      <c r="U4" s="30"/>
      <c r="V4" s="30"/>
      <c r="W4" s="177"/>
      <c r="X4" s="30" t="s">
        <v>1</v>
      </c>
      <c r="Y4" s="30"/>
      <c r="Z4" s="30"/>
      <c r="AA4" s="30"/>
      <c r="AB4" s="30"/>
      <c r="AC4" s="30"/>
      <c r="AD4" s="30"/>
      <c r="AE4" s="30"/>
      <c r="AF4" s="177"/>
      <c r="AG4" s="30" t="s">
        <v>2</v>
      </c>
      <c r="AH4" s="30"/>
      <c r="AI4" s="30"/>
      <c r="AJ4" s="30"/>
      <c r="AK4" s="30"/>
      <c r="AL4" s="30"/>
      <c r="AM4" s="30"/>
      <c r="AN4" s="30"/>
      <c r="AO4" s="177"/>
      <c r="AP4" s="30" t="s">
        <v>31</v>
      </c>
      <c r="AQ4" s="30"/>
      <c r="AR4" s="30"/>
      <c r="AS4" s="30"/>
      <c r="AT4" s="30"/>
      <c r="AU4" s="30"/>
      <c r="AV4" s="30"/>
      <c r="AW4" s="30"/>
      <c r="AX4" s="179"/>
      <c r="AY4" s="30" t="s">
        <v>55</v>
      </c>
      <c r="AZ4" s="30"/>
      <c r="BA4" s="30"/>
      <c r="BB4" s="30"/>
      <c r="BC4" s="30"/>
      <c r="BD4" s="30"/>
      <c r="BE4" s="30"/>
      <c r="BF4" s="30"/>
      <c r="BG4" s="31"/>
      <c r="BH4" s="32" t="s">
        <v>3</v>
      </c>
      <c r="BI4" s="31"/>
      <c r="BJ4" s="31"/>
      <c r="BK4" s="31"/>
      <c r="BL4" s="30"/>
      <c r="BM4" s="30"/>
      <c r="BN4" s="31"/>
      <c r="BO4" s="32" t="s">
        <v>4</v>
      </c>
      <c r="BP4" s="31"/>
      <c r="BQ4" s="31"/>
      <c r="BR4" s="31"/>
      <c r="BS4" s="31"/>
      <c r="BT4" s="32" t="s">
        <v>5</v>
      </c>
      <c r="BU4" s="31"/>
      <c r="BV4" s="31"/>
      <c r="BW4" s="31"/>
      <c r="BX4" s="31"/>
      <c r="BY4" s="33" t="s">
        <v>45</v>
      </c>
      <c r="BZ4" s="31"/>
      <c r="CA4" s="31"/>
      <c r="CB4" s="31"/>
      <c r="CC4" s="31"/>
      <c r="CD4" s="34" t="s">
        <v>67</v>
      </c>
      <c r="CE4" s="34" t="s">
        <v>67</v>
      </c>
      <c r="CF4" s="35"/>
      <c r="CG4" s="36" t="s">
        <v>136</v>
      </c>
      <c r="CH4" s="35"/>
      <c r="CI4" s="35"/>
      <c r="CJ4" s="44" t="s">
        <v>65</v>
      </c>
      <c r="CK4" s="45"/>
      <c r="CL4" s="45"/>
      <c r="CM4" s="45"/>
      <c r="CN4" s="45"/>
      <c r="CO4" s="34" t="s">
        <v>66</v>
      </c>
      <c r="CP4" s="35"/>
      <c r="CQ4" s="35"/>
      <c r="CR4" s="35"/>
      <c r="CS4" s="35"/>
      <c r="CT4" s="34" t="s">
        <v>57</v>
      </c>
      <c r="CU4" s="35"/>
      <c r="CV4" s="35"/>
      <c r="CW4" s="35"/>
      <c r="CX4" s="35"/>
      <c r="CY4" s="34" t="s">
        <v>12</v>
      </c>
      <c r="CZ4" s="35"/>
      <c r="DA4" s="35"/>
      <c r="DB4" s="35"/>
      <c r="DC4" s="35"/>
      <c r="DD4" s="34" t="s">
        <v>60</v>
      </c>
      <c r="DE4" s="35"/>
      <c r="DF4" s="35"/>
      <c r="DG4" s="35"/>
      <c r="DH4" s="35"/>
      <c r="DI4" s="34" t="s">
        <v>11</v>
      </c>
      <c r="DJ4" s="35"/>
      <c r="DK4" s="35"/>
      <c r="DL4" s="35"/>
      <c r="DM4" s="35"/>
      <c r="DN4" s="35"/>
      <c r="DO4" s="35"/>
      <c r="DP4" s="34" t="s">
        <v>56</v>
      </c>
      <c r="DQ4" s="35"/>
      <c r="DR4" s="35"/>
      <c r="DS4" s="35"/>
      <c r="DT4" s="35"/>
      <c r="DU4" s="36" t="s">
        <v>29</v>
      </c>
      <c r="DV4" s="36" t="s">
        <v>29</v>
      </c>
      <c r="DW4" s="34"/>
      <c r="DX4" s="35"/>
      <c r="DY4" s="36" t="s">
        <v>131</v>
      </c>
      <c r="DZ4" s="35"/>
      <c r="EA4" s="35"/>
      <c r="EB4" s="35"/>
      <c r="EC4" s="36" t="s">
        <v>244</v>
      </c>
      <c r="ED4" s="35"/>
      <c r="EE4" s="191"/>
      <c r="EF4" s="34" t="s">
        <v>142</v>
      </c>
      <c r="EG4" s="35"/>
      <c r="EH4" s="35"/>
      <c r="EI4" s="35"/>
      <c r="EJ4" s="35"/>
      <c r="EK4" s="35"/>
      <c r="EL4" s="191"/>
      <c r="EM4" s="190" t="s">
        <v>99</v>
      </c>
      <c r="EN4" s="216"/>
      <c r="EO4" t="s">
        <v>35</v>
      </c>
    </row>
    <row r="5" spans="2:145" ht="17.25" x14ac:dyDescent="0.4">
      <c r="D5" s="37" t="s">
        <v>6</v>
      </c>
      <c r="E5" s="217" t="s">
        <v>211</v>
      </c>
      <c r="F5" s="16" t="s">
        <v>30</v>
      </c>
      <c r="G5" s="16" t="s">
        <v>32</v>
      </c>
      <c r="H5" s="16" t="s">
        <v>7</v>
      </c>
      <c r="I5" s="16" t="s">
        <v>8</v>
      </c>
      <c r="J5" s="16" t="s">
        <v>9</v>
      </c>
      <c r="K5" s="16" t="s">
        <v>10</v>
      </c>
      <c r="L5" s="16" t="s">
        <v>36</v>
      </c>
      <c r="M5" s="16" t="s">
        <v>11</v>
      </c>
      <c r="N5" s="16" t="s">
        <v>12</v>
      </c>
      <c r="O5" s="217">
        <v>2022</v>
      </c>
      <c r="P5" s="217">
        <v>2023</v>
      </c>
      <c r="Q5" s="217">
        <v>2024</v>
      </c>
      <c r="R5" s="217">
        <v>2025</v>
      </c>
      <c r="S5" s="217">
        <v>2026</v>
      </c>
      <c r="T5" s="217">
        <v>2027</v>
      </c>
      <c r="U5" s="217">
        <v>2028</v>
      </c>
      <c r="V5" s="217">
        <v>2029</v>
      </c>
      <c r="W5" s="178">
        <v>2030</v>
      </c>
      <c r="X5" s="217">
        <v>2022</v>
      </c>
      <c r="Y5" s="217">
        <v>2023</v>
      </c>
      <c r="Z5" s="217">
        <v>2024</v>
      </c>
      <c r="AA5" s="217">
        <v>2025</v>
      </c>
      <c r="AB5" s="217">
        <v>2026</v>
      </c>
      <c r="AC5" s="217">
        <v>2027</v>
      </c>
      <c r="AD5" s="217">
        <v>2028</v>
      </c>
      <c r="AE5" s="217">
        <v>2029</v>
      </c>
      <c r="AF5" s="178">
        <v>2030</v>
      </c>
      <c r="AG5" s="217">
        <v>2022</v>
      </c>
      <c r="AH5" s="217">
        <v>2023</v>
      </c>
      <c r="AI5" s="217">
        <v>2024</v>
      </c>
      <c r="AJ5" s="217">
        <v>2025</v>
      </c>
      <c r="AK5" s="217">
        <v>2026</v>
      </c>
      <c r="AL5" s="217">
        <v>2027</v>
      </c>
      <c r="AM5" s="217">
        <v>2028</v>
      </c>
      <c r="AN5" s="217">
        <v>2029</v>
      </c>
      <c r="AO5" s="178">
        <v>2030</v>
      </c>
      <c r="AP5" s="217">
        <v>2022</v>
      </c>
      <c r="AQ5" s="217">
        <v>2023</v>
      </c>
      <c r="AR5" s="217">
        <v>2024</v>
      </c>
      <c r="AS5" s="217">
        <v>2025</v>
      </c>
      <c r="AT5" s="217">
        <v>2026</v>
      </c>
      <c r="AU5" s="217">
        <v>2027</v>
      </c>
      <c r="AV5" s="217">
        <v>2028</v>
      </c>
      <c r="AW5" s="217">
        <v>2029</v>
      </c>
      <c r="AX5" s="178">
        <v>2030</v>
      </c>
      <c r="AY5" s="217">
        <v>2022</v>
      </c>
      <c r="AZ5" s="217">
        <v>2023</v>
      </c>
      <c r="BA5" s="217">
        <v>2024</v>
      </c>
      <c r="BB5" s="217">
        <v>2025</v>
      </c>
      <c r="BC5" s="217">
        <v>2026</v>
      </c>
      <c r="BD5" s="217">
        <v>2027</v>
      </c>
      <c r="BE5" s="217">
        <v>2028</v>
      </c>
      <c r="BF5" s="217">
        <v>2029</v>
      </c>
      <c r="BG5" s="217">
        <v>2030</v>
      </c>
      <c r="BH5" s="218" t="s">
        <v>13</v>
      </c>
      <c r="BI5" s="218" t="s">
        <v>14</v>
      </c>
      <c r="BJ5" s="218" t="s">
        <v>15</v>
      </c>
      <c r="BK5" s="218" t="s">
        <v>16</v>
      </c>
      <c r="BL5" s="218" t="s">
        <v>28</v>
      </c>
      <c r="BM5" s="219">
        <v>2029</v>
      </c>
      <c r="BN5" s="219">
        <v>2030</v>
      </c>
      <c r="BO5" s="201" t="s">
        <v>15</v>
      </c>
      <c r="BP5" s="201" t="s">
        <v>16</v>
      </c>
      <c r="BQ5" s="201" t="s">
        <v>28</v>
      </c>
      <c r="BR5" s="201" t="s">
        <v>47</v>
      </c>
      <c r="BS5" s="201" t="s">
        <v>48</v>
      </c>
      <c r="BT5" s="201" t="s">
        <v>15</v>
      </c>
      <c r="BU5" s="201" t="s">
        <v>16</v>
      </c>
      <c r="BV5" s="201" t="s">
        <v>28</v>
      </c>
      <c r="BW5" s="201" t="s">
        <v>47</v>
      </c>
      <c r="BX5" s="201" t="s">
        <v>48</v>
      </c>
      <c r="BY5" s="17" t="s">
        <v>15</v>
      </c>
      <c r="BZ5" s="201" t="s">
        <v>16</v>
      </c>
      <c r="CA5" s="201" t="s">
        <v>28</v>
      </c>
      <c r="CB5" s="201" t="s">
        <v>47</v>
      </c>
      <c r="CC5" s="201" t="s">
        <v>48</v>
      </c>
      <c r="CD5" s="220" t="s">
        <v>61</v>
      </c>
      <c r="CE5" s="201" t="s">
        <v>15</v>
      </c>
      <c r="CF5" s="201" t="s">
        <v>16</v>
      </c>
      <c r="CG5" s="17" t="s">
        <v>28</v>
      </c>
      <c r="CH5" s="201" t="s">
        <v>47</v>
      </c>
      <c r="CI5" s="201" t="s">
        <v>48</v>
      </c>
      <c r="CJ5" s="221" t="s">
        <v>15</v>
      </c>
      <c r="CK5" s="221" t="s">
        <v>16</v>
      </c>
      <c r="CL5" s="221" t="s">
        <v>28</v>
      </c>
      <c r="CM5" s="221" t="s">
        <v>47</v>
      </c>
      <c r="CN5" s="221" t="s">
        <v>48</v>
      </c>
      <c r="CO5" s="201" t="s">
        <v>15</v>
      </c>
      <c r="CP5" s="201" t="s">
        <v>16</v>
      </c>
      <c r="CQ5" s="201" t="s">
        <v>28</v>
      </c>
      <c r="CR5" s="201" t="s">
        <v>47</v>
      </c>
      <c r="CS5" s="201" t="s">
        <v>48</v>
      </c>
      <c r="CT5" s="201" t="s">
        <v>15</v>
      </c>
      <c r="CU5" s="201" t="s">
        <v>16</v>
      </c>
      <c r="CV5" s="201" t="s">
        <v>28</v>
      </c>
      <c r="CW5" s="201" t="s">
        <v>47</v>
      </c>
      <c r="CX5" s="201" t="s">
        <v>48</v>
      </c>
      <c r="CY5" s="201" t="s">
        <v>15</v>
      </c>
      <c r="CZ5" s="201" t="s">
        <v>16</v>
      </c>
      <c r="DA5" s="201" t="s">
        <v>28</v>
      </c>
      <c r="DB5" s="201" t="s">
        <v>47</v>
      </c>
      <c r="DC5" s="201" t="s">
        <v>48</v>
      </c>
      <c r="DD5" s="201" t="s">
        <v>15</v>
      </c>
      <c r="DE5" s="201" t="s">
        <v>16</v>
      </c>
      <c r="DF5" s="201" t="s">
        <v>28</v>
      </c>
      <c r="DG5" s="201" t="s">
        <v>47</v>
      </c>
      <c r="DH5" s="201" t="s">
        <v>48</v>
      </c>
      <c r="DI5" s="201" t="s">
        <v>15</v>
      </c>
      <c r="DJ5" s="201" t="s">
        <v>16</v>
      </c>
      <c r="DK5" s="201" t="s">
        <v>28</v>
      </c>
      <c r="DL5" s="201" t="s">
        <v>47</v>
      </c>
      <c r="DM5" s="201" t="s">
        <v>48</v>
      </c>
      <c r="DN5" s="201"/>
      <c r="DO5" s="201"/>
      <c r="DP5" s="201" t="s">
        <v>15</v>
      </c>
      <c r="DQ5" s="201" t="s">
        <v>16</v>
      </c>
      <c r="DR5" s="201" t="s">
        <v>28</v>
      </c>
      <c r="DS5" s="201" t="s">
        <v>47</v>
      </c>
      <c r="DT5" s="201" t="s">
        <v>48</v>
      </c>
      <c r="DU5" s="17" t="s">
        <v>15</v>
      </c>
      <c r="DV5" s="17" t="s">
        <v>16</v>
      </c>
      <c r="DW5" s="201" t="s">
        <v>28</v>
      </c>
      <c r="DX5" s="201" t="s">
        <v>47</v>
      </c>
      <c r="DY5" s="17" t="s">
        <v>15</v>
      </c>
      <c r="DZ5" s="201" t="s">
        <v>16</v>
      </c>
      <c r="EA5" s="201" t="s">
        <v>28</v>
      </c>
      <c r="EB5" s="201" t="s">
        <v>47</v>
      </c>
      <c r="EC5" s="17" t="s">
        <v>71</v>
      </c>
      <c r="ED5" s="201" t="s">
        <v>72</v>
      </c>
      <c r="EE5" s="193" t="s">
        <v>73</v>
      </c>
      <c r="EF5" s="222" t="s">
        <v>0</v>
      </c>
      <c r="EG5" s="366" t="s">
        <v>242</v>
      </c>
      <c r="EH5" s="222" t="s">
        <v>143</v>
      </c>
      <c r="EI5" s="222" t="s">
        <v>144</v>
      </c>
      <c r="EJ5" s="366" t="s">
        <v>243</v>
      </c>
      <c r="EK5" s="222" t="s">
        <v>246</v>
      </c>
      <c r="EL5" s="192" t="s">
        <v>147</v>
      </c>
      <c r="EM5" s="201" t="s">
        <v>64</v>
      </c>
      <c r="EN5" s="193" t="s">
        <v>100</v>
      </c>
      <c r="EO5" t="s">
        <v>34</v>
      </c>
    </row>
    <row r="6" spans="2:145" ht="18" customHeight="1" x14ac:dyDescent="0.25">
      <c r="D6" s="142" t="s">
        <v>232</v>
      </c>
      <c r="E6" s="290"/>
      <c r="F6" s="186">
        <v>46139</v>
      </c>
      <c r="G6" s="147"/>
      <c r="H6" s="149">
        <v>605.70001220703125</v>
      </c>
      <c r="I6" s="25">
        <v>2573.7760749255003</v>
      </c>
      <c r="J6" s="25">
        <v>-84819</v>
      </c>
      <c r="K6" s="2">
        <v>85081</v>
      </c>
      <c r="L6" s="3"/>
      <c r="M6" s="76">
        <v>262</v>
      </c>
      <c r="N6" s="76">
        <v>1559198.2000005406</v>
      </c>
      <c r="O6" s="233">
        <v>116608</v>
      </c>
      <c r="P6" s="233">
        <v>134902</v>
      </c>
      <c r="Q6" s="233">
        <v>164500</v>
      </c>
      <c r="R6" s="233">
        <v>200965</v>
      </c>
      <c r="S6" s="233">
        <v>248522.9119859153</v>
      </c>
      <c r="T6" s="233">
        <v>295151.31708353083</v>
      </c>
      <c r="U6" s="233">
        <v>335415.23411256413</v>
      </c>
      <c r="V6" s="233">
        <v>371309.47476557485</v>
      </c>
      <c r="W6" s="233">
        <v>403354.04262981628</v>
      </c>
      <c r="X6" s="90"/>
      <c r="Y6" s="90"/>
      <c r="Z6" s="90"/>
      <c r="AA6" s="90"/>
      <c r="AB6" s="90"/>
      <c r="AC6" s="90"/>
      <c r="AD6" s="90"/>
      <c r="AE6" s="90"/>
      <c r="AF6" s="90"/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11">
        <v>11.527294297151407</v>
      </c>
      <c r="AQ6" s="11">
        <v>17.776262985156663</v>
      </c>
      <c r="AR6" s="11">
        <v>26.860055920116974</v>
      </c>
      <c r="AS6" s="11">
        <v>37.091372145366456</v>
      </c>
      <c r="AT6" s="11">
        <v>43.24424374482286</v>
      </c>
      <c r="AU6" s="11">
        <v>54.069647382218214</v>
      </c>
      <c r="AV6" s="11">
        <v>64.737817130516518</v>
      </c>
      <c r="AW6" s="11">
        <v>76.123333506299929</v>
      </c>
      <c r="AX6" s="11">
        <v>87.688622094045115</v>
      </c>
      <c r="AY6" s="11">
        <v>11.527294297151407</v>
      </c>
      <c r="AZ6" s="11">
        <v>17.776262985156663</v>
      </c>
      <c r="BA6" s="11">
        <v>26.860055920116974</v>
      </c>
      <c r="BB6" s="11">
        <v>37.091372145366456</v>
      </c>
      <c r="BC6" s="11">
        <v>43.24424374482286</v>
      </c>
      <c r="BD6" s="11">
        <v>54.069647382218214</v>
      </c>
      <c r="BE6" s="11">
        <v>64.737817130516518</v>
      </c>
      <c r="BF6" s="11">
        <v>76.123333506299929</v>
      </c>
      <c r="BG6" s="11">
        <v>87.688622094045115</v>
      </c>
      <c r="BH6" s="5">
        <v>9.4784085106415841</v>
      </c>
      <c r="BI6" s="5">
        <v>7.75855596745971</v>
      </c>
      <c r="BJ6" s="5">
        <v>6.2738609794211087</v>
      </c>
      <c r="BK6" s="5">
        <v>5.2827079187970272</v>
      </c>
      <c r="BL6" s="5">
        <v>4.6485610712519971</v>
      </c>
      <c r="BM6" s="5">
        <v>4.1991877556718311</v>
      </c>
      <c r="BN6" s="5">
        <v>3.8655821814373539</v>
      </c>
      <c r="BO6" s="5" t="s">
        <v>24</v>
      </c>
      <c r="BP6" s="5" t="s">
        <v>24</v>
      </c>
      <c r="BQ6" s="5" t="e">
        <v>#DIV/0!</v>
      </c>
      <c r="BR6" s="5" t="e">
        <v>#DIV/0!</v>
      </c>
      <c r="BS6" s="5" t="e">
        <v>#DIV/0!</v>
      </c>
      <c r="BT6" s="234">
        <v>14.006488719774289</v>
      </c>
      <c r="BU6" s="5">
        <v>11.202218648206438</v>
      </c>
      <c r="BV6" s="5">
        <v>9.3562007348176799</v>
      </c>
      <c r="BW6" s="5">
        <v>7.9568245938271192</v>
      </c>
      <c r="BX6" s="5">
        <v>6.9073957115830193</v>
      </c>
      <c r="BY6" s="8">
        <v>14.006488719774289</v>
      </c>
      <c r="BZ6" s="5">
        <v>11.202218648206438</v>
      </c>
      <c r="CA6" s="5">
        <v>9.3562007348176799</v>
      </c>
      <c r="CB6" s="5">
        <v>7.9568245938271192</v>
      </c>
      <c r="CC6" s="5">
        <v>6.9073957115830193</v>
      </c>
      <c r="CE6" s="12">
        <v>19</v>
      </c>
      <c r="CF6" s="12">
        <v>19</v>
      </c>
      <c r="CG6" s="167">
        <v>19</v>
      </c>
      <c r="CH6" s="12">
        <v>19</v>
      </c>
      <c r="CI6" s="12">
        <v>20</v>
      </c>
      <c r="CJ6" s="46"/>
      <c r="CK6" s="46"/>
      <c r="CL6" s="46"/>
      <c r="CM6" s="46"/>
      <c r="CN6" s="46"/>
      <c r="CO6" s="19">
        <v>1027.3233002621462</v>
      </c>
      <c r="CP6" s="19">
        <v>1230.0185254798139</v>
      </c>
      <c r="CQ6" s="19">
        <v>1446.3433366196987</v>
      </c>
      <c r="CR6" s="19">
        <v>1666.0838197868572</v>
      </c>
      <c r="CS6" s="7"/>
      <c r="CT6" s="7"/>
      <c r="CU6" s="7"/>
      <c r="CV6" s="7"/>
      <c r="CW6" s="7"/>
      <c r="CX6" s="7"/>
      <c r="CY6" s="41"/>
      <c r="CZ6" s="41"/>
      <c r="DA6" s="41"/>
      <c r="DB6" s="41"/>
      <c r="DC6" s="19"/>
      <c r="DD6" s="42">
        <v>2573.7760749255003</v>
      </c>
      <c r="DE6" s="42">
        <v>2565.3705441783013</v>
      </c>
      <c r="DF6" s="42">
        <v>2524.5023676132205</v>
      </c>
      <c r="DG6" s="42">
        <v>2456.3036059646715</v>
      </c>
      <c r="DH6" s="40">
        <v>2359.3103233469292</v>
      </c>
      <c r="DI6" s="40"/>
      <c r="DJ6" s="40"/>
      <c r="DK6" s="40"/>
      <c r="DL6" s="40"/>
      <c r="DM6" s="40"/>
      <c r="DN6" s="7"/>
      <c r="DO6" s="7"/>
      <c r="DP6" s="7">
        <v>2.2050000000000001</v>
      </c>
      <c r="DQ6" s="7">
        <v>2.3152500000000003</v>
      </c>
      <c r="DR6" s="7">
        <v>2.4310125000000005</v>
      </c>
      <c r="DS6" s="7">
        <v>2.5525631250000007</v>
      </c>
      <c r="DT6" s="7">
        <v>2.6801912812500008</v>
      </c>
      <c r="DU6" s="78">
        <v>1.3523542067052112</v>
      </c>
      <c r="DV6" s="78">
        <v>0.55169980009119568</v>
      </c>
      <c r="DW6" s="6">
        <v>0.39644723270831195</v>
      </c>
      <c r="DX6" s="6">
        <v>0.32446973163244897</v>
      </c>
      <c r="DY6" s="171">
        <v>1.6997330023335846</v>
      </c>
      <c r="DZ6" s="132">
        <v>2.0382016684817938</v>
      </c>
      <c r="EA6" s="132">
        <v>2.3993636615991272</v>
      </c>
      <c r="EB6" s="132">
        <v>2.7663655467108246</v>
      </c>
      <c r="EC6" s="78">
        <v>-0.1203253</v>
      </c>
      <c r="ED6" s="6">
        <v>-6.0609859999999995E-2</v>
      </c>
      <c r="EE6" s="194">
        <v>2.6053649999999998E-2</v>
      </c>
      <c r="EF6" s="363">
        <v>0.13535275756238674</v>
      </c>
      <c r="EG6" s="188">
        <v>4.2678214511111756E-2</v>
      </c>
      <c r="EH6" s="188">
        <v>0.17803097207349849</v>
      </c>
      <c r="EI6" s="6">
        <v>2.4467920209145788E-2</v>
      </c>
      <c r="EJ6" s="363">
        <v>0.20249889228264428</v>
      </c>
      <c r="EK6" s="6">
        <v>0.19394834042566766</v>
      </c>
      <c r="EL6" s="194">
        <v>0.39644723270831195</v>
      </c>
      <c r="EM6" s="6">
        <v>0</v>
      </c>
      <c r="EN6" s="194">
        <v>0.20743334087625898</v>
      </c>
    </row>
    <row r="7" spans="2:145" x14ac:dyDescent="0.25">
      <c r="B7" s="10" t="s">
        <v>17</v>
      </c>
      <c r="C7" s="10"/>
      <c r="D7" s="142" t="s">
        <v>85</v>
      </c>
      <c r="E7" s="290">
        <v>1</v>
      </c>
      <c r="F7" s="143">
        <v>45689</v>
      </c>
      <c r="H7" s="247">
        <v>68.120002746582031</v>
      </c>
      <c r="I7" s="59">
        <v>197.2</v>
      </c>
      <c r="J7" s="87">
        <v>-749.9</v>
      </c>
      <c r="K7" s="3">
        <v>5120.1000000000004</v>
      </c>
      <c r="L7">
        <v>105.1</v>
      </c>
      <c r="M7" s="76">
        <v>4370.2000000000007</v>
      </c>
      <c r="N7" s="89">
        <v>17908.564541625976</v>
      </c>
      <c r="O7" s="3">
        <v>3710</v>
      </c>
      <c r="P7" s="3">
        <v>3831.3999999999996</v>
      </c>
      <c r="Q7" s="3">
        <v>4183.7999999999993</v>
      </c>
      <c r="R7" s="3">
        <v>4544.1736566513928</v>
      </c>
      <c r="S7" s="3">
        <v>4888.6712103151576</v>
      </c>
      <c r="T7" s="3">
        <v>5267.2450026041288</v>
      </c>
      <c r="U7" s="3">
        <v>5690.089741367221</v>
      </c>
      <c r="V7" s="3">
        <v>6163.765390803238</v>
      </c>
      <c r="W7" s="3">
        <v>6647.7196898411712</v>
      </c>
      <c r="X7" s="4">
        <v>0.6</v>
      </c>
      <c r="Y7" s="4">
        <v>0.6</v>
      </c>
      <c r="Z7" s="4">
        <v>0.6</v>
      </c>
      <c r="AA7" s="4">
        <v>0.6</v>
      </c>
      <c r="AB7" s="4">
        <v>0.6</v>
      </c>
      <c r="AC7" s="4">
        <v>0.6</v>
      </c>
      <c r="AD7" s="4">
        <v>0.6</v>
      </c>
      <c r="AE7" s="4">
        <v>0.6</v>
      </c>
      <c r="AF7" s="4">
        <v>0.6</v>
      </c>
      <c r="AG7" s="3">
        <v>2226</v>
      </c>
      <c r="AH7" s="3">
        <v>2298.8399999999997</v>
      </c>
      <c r="AI7" s="3">
        <v>2510.2799999999993</v>
      </c>
      <c r="AJ7" s="3">
        <v>2726.5041939908356</v>
      </c>
      <c r="AK7" s="3">
        <v>2933.2027261890944</v>
      </c>
      <c r="AL7" s="3">
        <v>3160.3470015624771</v>
      </c>
      <c r="AM7" s="3">
        <v>3414.0538448203324</v>
      </c>
      <c r="AN7" s="3">
        <v>3698.2592344819427</v>
      </c>
      <c r="AO7" s="3">
        <v>3988.6318139047025</v>
      </c>
      <c r="AP7" s="223">
        <v>3.2940880372863806</v>
      </c>
      <c r="AQ7" s="223">
        <v>2.9669799691833596</v>
      </c>
      <c r="AR7" s="223">
        <v>3.4410971021860703</v>
      </c>
      <c r="AS7" s="223">
        <v>3.7424210396428959</v>
      </c>
      <c r="AT7" s="223">
        <v>4.3515834620752596</v>
      </c>
      <c r="AU7" s="223">
        <v>5.196394936118387</v>
      </c>
      <c r="AV7" s="223">
        <v>6.1913685429278464</v>
      </c>
      <c r="AW7" s="223">
        <v>7.3896915783172581</v>
      </c>
      <c r="AX7" s="223">
        <v>8.7315556565516914</v>
      </c>
      <c r="AY7" s="224">
        <v>3.2940880372863806</v>
      </c>
      <c r="AZ7" s="224">
        <v>2.9669799691833596</v>
      </c>
      <c r="BA7" s="224">
        <v>3.4410971021860703</v>
      </c>
      <c r="BB7" s="224">
        <v>3.7424210396428959</v>
      </c>
      <c r="BC7" s="224">
        <v>4.3515834620752596</v>
      </c>
      <c r="BD7" s="224">
        <v>5.196394936118387</v>
      </c>
      <c r="BE7" s="224">
        <v>6.1913685429278464</v>
      </c>
      <c r="BF7" s="224">
        <v>7.3896915783172581</v>
      </c>
      <c r="BG7" s="224">
        <v>8.7315556565516914</v>
      </c>
      <c r="BH7" s="5">
        <v>4.2804542620646249</v>
      </c>
      <c r="BI7" s="5">
        <v>3.9409947538894934</v>
      </c>
      <c r="BJ7" s="5">
        <v>3.6632785824987941</v>
      </c>
      <c r="BK7" s="5">
        <v>3.3999870013207989</v>
      </c>
      <c r="BL7" s="5">
        <v>3.147325500234182</v>
      </c>
      <c r="BM7" s="5">
        <v>2.9054584991743497</v>
      </c>
      <c r="BN7" s="5">
        <v>2.6939409868609925</v>
      </c>
      <c r="BO7" s="5">
        <v>6.1054643041646575</v>
      </c>
      <c r="BP7" s="5">
        <v>5.6666450022013324</v>
      </c>
      <c r="BQ7" s="5">
        <v>5.2455425003903038</v>
      </c>
      <c r="BR7" s="5">
        <v>4.84243083195725</v>
      </c>
      <c r="BS7" s="5">
        <v>4.4899016447683211</v>
      </c>
      <c r="BT7" s="5">
        <v>15.654072440585976</v>
      </c>
      <c r="BU7" s="5">
        <v>13.109088817153387</v>
      </c>
      <c r="BV7" s="5">
        <v>11.002414453972829</v>
      </c>
      <c r="BW7" s="5">
        <v>9.2182470708870863</v>
      </c>
      <c r="BX7" s="5">
        <v>7.8015883338576018</v>
      </c>
      <c r="BY7" s="8">
        <v>15.654072440585976</v>
      </c>
      <c r="BZ7" s="5">
        <v>13.109088817153387</v>
      </c>
      <c r="CA7" s="5">
        <v>11.002414453972829</v>
      </c>
      <c r="CB7" s="5">
        <v>9.2182470708870863</v>
      </c>
      <c r="CC7" s="5">
        <v>7.8015883338576018</v>
      </c>
      <c r="CE7" s="12">
        <v>20</v>
      </c>
      <c r="CF7" s="12">
        <v>20</v>
      </c>
      <c r="CG7" s="168">
        <v>20</v>
      </c>
      <c r="CH7" s="82">
        <v>20</v>
      </c>
      <c r="CI7" s="12">
        <v>20</v>
      </c>
      <c r="CJ7" s="46">
        <v>103.92789872236774</v>
      </c>
      <c r="CK7" s="46">
        <v>130.01873940148477</v>
      </c>
      <c r="CL7" s="46">
        <v>162.57321472297969</v>
      </c>
      <c r="CM7" s="46">
        <v>192.09422444413721</v>
      </c>
      <c r="CN7" s="46"/>
      <c r="CO7" s="43">
        <v>103.92789872236774</v>
      </c>
      <c r="CP7" s="43">
        <v>123.82737085855693</v>
      </c>
      <c r="CQ7" s="43">
        <v>147.79383156634515</v>
      </c>
      <c r="CR7" s="43">
        <v>174.63111313103383</v>
      </c>
      <c r="CS7" s="7"/>
      <c r="CT7" s="7"/>
      <c r="CU7" s="7"/>
      <c r="CV7" s="7"/>
      <c r="CW7" s="7"/>
      <c r="CX7" s="7"/>
      <c r="CY7" s="101"/>
      <c r="CZ7" s="101"/>
      <c r="DA7" s="101"/>
      <c r="DB7" s="101"/>
      <c r="DC7" s="19"/>
      <c r="DD7" s="40">
        <v>190.35636039430796</v>
      </c>
      <c r="DE7" s="40">
        <v>180.30632536442258</v>
      </c>
      <c r="DF7" s="40">
        <v>169.60490214698731</v>
      </c>
      <c r="DG7" s="40">
        <v>159.40250297999353</v>
      </c>
      <c r="DH7" s="40">
        <v>149.64171201524383</v>
      </c>
      <c r="DI7" s="41"/>
      <c r="DJ7" s="41"/>
      <c r="DK7" s="41"/>
      <c r="DL7" s="41"/>
      <c r="DM7" s="101"/>
      <c r="DN7" s="7"/>
      <c r="DO7" s="7"/>
      <c r="DP7" s="85">
        <v>0.88330716822710142</v>
      </c>
      <c r="DQ7" s="85">
        <v>1.0311126918506281</v>
      </c>
      <c r="DR7" s="85">
        <v>1.2092731511222865</v>
      </c>
      <c r="DS7" s="85">
        <v>1.428101833811118</v>
      </c>
      <c r="DT7" s="85"/>
      <c r="DU7" s="78">
        <v>0.9951403590709742</v>
      </c>
      <c r="DV7" s="78">
        <v>0.45776990425869379</v>
      </c>
      <c r="DW7" s="6">
        <v>0.35371816789660437</v>
      </c>
      <c r="DX7" s="6">
        <v>0.30565675469865594</v>
      </c>
      <c r="DY7" s="171">
        <v>1.5386259786352376</v>
      </c>
      <c r="DZ7" s="132">
        <v>1.8458864599054035</v>
      </c>
      <c r="EA7" s="132">
        <v>2.2154656267261759</v>
      </c>
      <c r="EB7" s="132">
        <v>2.6304007743898046</v>
      </c>
      <c r="EC7" s="78">
        <v>-0.12945690000000001</v>
      </c>
      <c r="ED7" s="6">
        <v>-0.1050972</v>
      </c>
      <c r="EE7" s="194">
        <v>-0.1680508</v>
      </c>
      <c r="EF7" s="363">
        <v>8.0465497616206694E-2</v>
      </c>
      <c r="EG7" s="175">
        <v>4.2332787761168111E-2</v>
      </c>
      <c r="EH7" s="363">
        <v>0.12279828537737481</v>
      </c>
      <c r="EI7" s="6">
        <v>8.4830050987712513E-2</v>
      </c>
      <c r="EJ7" s="363">
        <v>0.20762833636508732</v>
      </c>
      <c r="EK7" s="6">
        <v>0.14608983153151706</v>
      </c>
      <c r="EL7" s="194">
        <v>0.35371816789660437</v>
      </c>
      <c r="EM7" s="6">
        <v>8.0318359526691196E-2</v>
      </c>
      <c r="EN7" s="194">
        <v>0.19305280199790076</v>
      </c>
      <c r="EO7">
        <v>695.74969599999997</v>
      </c>
    </row>
    <row r="8" spans="2:145" ht="16.149999999999999" customHeight="1" x14ac:dyDescent="0.25">
      <c r="B8" s="10" t="s">
        <v>103</v>
      </c>
      <c r="C8" s="10"/>
      <c r="D8" s="142" t="s">
        <v>89</v>
      </c>
      <c r="E8" s="290">
        <v>1</v>
      </c>
      <c r="F8" s="143">
        <v>45689</v>
      </c>
      <c r="H8" s="149">
        <v>33.854999542236328</v>
      </c>
      <c r="I8" s="39">
        <v>419.6</v>
      </c>
      <c r="J8" s="25">
        <v>-1633</v>
      </c>
      <c r="K8" s="2">
        <v>992.5</v>
      </c>
      <c r="M8" s="76">
        <v>-640.5</v>
      </c>
      <c r="N8" s="76">
        <v>13565.057807922363</v>
      </c>
      <c r="O8" s="3">
        <v>2182.3989999999999</v>
      </c>
      <c r="P8" s="3">
        <v>2455</v>
      </c>
      <c r="Q8" s="3">
        <v>2736.2</v>
      </c>
      <c r="R8" s="3">
        <v>3236.027</v>
      </c>
      <c r="S8" s="3">
        <v>3800</v>
      </c>
      <c r="T8" s="3">
        <v>4267.3000000000011</v>
      </c>
      <c r="U8" s="3">
        <v>4781.9230000000007</v>
      </c>
      <c r="V8" s="3">
        <v>5335.7805300000018</v>
      </c>
      <c r="W8" s="3">
        <v>5922.7163883000021</v>
      </c>
      <c r="X8" s="4">
        <v>0.8</v>
      </c>
      <c r="Y8" s="4">
        <v>0.8</v>
      </c>
      <c r="Z8" s="4">
        <v>0.8</v>
      </c>
      <c r="AA8" s="4">
        <v>0.8</v>
      </c>
      <c r="AB8" s="4">
        <v>0.8</v>
      </c>
      <c r="AC8" s="4">
        <v>0.8</v>
      </c>
      <c r="AD8" s="4">
        <v>0.8</v>
      </c>
      <c r="AE8" s="4">
        <v>0.8</v>
      </c>
      <c r="AF8" s="4">
        <v>0.8</v>
      </c>
      <c r="AG8" s="3">
        <v>1745.9192</v>
      </c>
      <c r="AH8" s="3">
        <v>1964</v>
      </c>
      <c r="AI8" s="3">
        <v>2188.96</v>
      </c>
      <c r="AJ8" s="3">
        <v>2588.8216000000002</v>
      </c>
      <c r="AK8" s="3">
        <v>3040</v>
      </c>
      <c r="AL8" s="3">
        <v>3413.8400000000011</v>
      </c>
      <c r="AM8" s="3">
        <v>3825.5384000000008</v>
      </c>
      <c r="AN8" s="3">
        <v>4268.6244240000015</v>
      </c>
      <c r="AO8" s="3">
        <v>4738.1731106400021</v>
      </c>
      <c r="AP8" s="11">
        <v>1.2726523059594916</v>
      </c>
      <c r="AQ8" s="11">
        <v>1.2241336937822562</v>
      </c>
      <c r="AR8" s="11">
        <v>0.74254940559257854</v>
      </c>
      <c r="AS8" s="11">
        <v>0.82941960038059004</v>
      </c>
      <c r="AT8" s="11">
        <v>1.1224162143051402</v>
      </c>
      <c r="AU8" s="11">
        <v>1.7627063495876765</v>
      </c>
      <c r="AV8" s="11">
        <v>2.5071929283650225</v>
      </c>
      <c r="AW8" s="11">
        <v>3.3694003510672053</v>
      </c>
      <c r="AX8" s="11">
        <v>4.3626188759444062</v>
      </c>
      <c r="AY8" s="11">
        <v>1.2726523059594916</v>
      </c>
      <c r="AZ8" s="11">
        <v>1.2241336937822562</v>
      </c>
      <c r="BA8" s="11">
        <v>0.74254940559257854</v>
      </c>
      <c r="BB8" s="18">
        <v>0.82941960038059004</v>
      </c>
      <c r="BC8" s="18">
        <v>1.1224162143051402</v>
      </c>
      <c r="BD8" s="18">
        <v>1.7627063495876765</v>
      </c>
      <c r="BE8" s="18">
        <v>2.5071929283650225</v>
      </c>
      <c r="BF8" s="18">
        <v>3.3694003510672053</v>
      </c>
      <c r="BG8" s="18">
        <v>4.3626188759444062</v>
      </c>
      <c r="BH8" s="5">
        <v>4.9576265652811795</v>
      </c>
      <c r="BI8" s="5">
        <v>4.1918864731111212</v>
      </c>
      <c r="BJ8" s="5">
        <v>3.5697520547164112</v>
      </c>
      <c r="BK8" s="5">
        <v>3.1788385648823283</v>
      </c>
      <c r="BL8" s="5">
        <v>2.8367369796465485</v>
      </c>
      <c r="BM8" s="5">
        <v>2.542281814563756</v>
      </c>
      <c r="BN8" s="5">
        <v>2.2903439770844645</v>
      </c>
      <c r="BO8" s="5">
        <v>4.4621900683955138</v>
      </c>
      <c r="BP8" s="5">
        <v>3.9735482061029104</v>
      </c>
      <c r="BQ8" s="5">
        <v>3.5459212245581853</v>
      </c>
      <c r="BR8" s="5">
        <v>3.1778522682046946</v>
      </c>
      <c r="BS8" s="5">
        <v>2.8629299713555807</v>
      </c>
      <c r="BT8" s="5">
        <v>30.162607338308199</v>
      </c>
      <c r="BU8" s="5">
        <v>19.206261752081122</v>
      </c>
      <c r="BV8" s="5">
        <v>13.503148943672905</v>
      </c>
      <c r="BW8" s="5">
        <v>10.047781805303512</v>
      </c>
      <c r="BX8" s="5">
        <v>7.7602468849419042</v>
      </c>
      <c r="BY8" s="8">
        <v>30.162607338308199</v>
      </c>
      <c r="BZ8" s="5">
        <v>19.206261752081122</v>
      </c>
      <c r="CA8" s="5">
        <v>13.503148943672905</v>
      </c>
      <c r="CB8" s="5">
        <v>10.047781805303512</v>
      </c>
      <c r="CC8" s="5">
        <v>7.7602468849419042</v>
      </c>
      <c r="CE8" s="12">
        <v>22</v>
      </c>
      <c r="CF8" s="12">
        <v>22</v>
      </c>
      <c r="CG8" s="168">
        <v>22</v>
      </c>
      <c r="CH8" s="82">
        <v>22</v>
      </c>
      <c r="CI8" s="82">
        <v>22</v>
      </c>
      <c r="CJ8" s="46"/>
      <c r="CK8" s="46"/>
      <c r="CL8" s="46"/>
      <c r="CM8" s="46"/>
      <c r="CN8" s="46"/>
      <c r="CO8" s="43">
        <v>38.779539690928885</v>
      </c>
      <c r="CP8" s="43">
        <v>55.158244424030492</v>
      </c>
      <c r="CQ8" s="43">
        <v>74.126807723478521</v>
      </c>
      <c r="CR8" s="43">
        <v>95.977615270776937</v>
      </c>
      <c r="CS8" s="7"/>
      <c r="CT8" s="7"/>
      <c r="CU8" s="7"/>
      <c r="CV8" s="7"/>
      <c r="CW8" s="7"/>
      <c r="CX8" s="7"/>
      <c r="CY8" s="41"/>
      <c r="CZ8" s="41"/>
      <c r="DA8" s="41"/>
      <c r="DB8" s="41"/>
      <c r="DC8" s="101"/>
      <c r="DD8" s="40">
        <v>414.18387141509959</v>
      </c>
      <c r="DE8" s="40">
        <v>401.21458753898139</v>
      </c>
      <c r="DF8" s="40">
        <v>388.58912329887863</v>
      </c>
      <c r="DG8" s="40">
        <v>377.6104587422675</v>
      </c>
      <c r="DH8" s="40">
        <v>368.06379391043174</v>
      </c>
      <c r="DI8" s="40"/>
      <c r="DJ8" s="40"/>
      <c r="DK8" s="40"/>
      <c r="DL8" s="40"/>
      <c r="DM8" s="40"/>
      <c r="DN8" s="7"/>
      <c r="DO8" s="7"/>
      <c r="DP8" s="85">
        <v>0</v>
      </c>
      <c r="DQ8" s="85">
        <v>0</v>
      </c>
      <c r="DR8" s="85">
        <v>0</v>
      </c>
      <c r="DS8" s="85">
        <v>0</v>
      </c>
      <c r="DT8" s="85">
        <v>0</v>
      </c>
      <c r="DU8" s="78">
        <v>0.24524569005291652</v>
      </c>
      <c r="DV8" s="78">
        <v>0.35183280691084251</v>
      </c>
      <c r="DW8" s="6">
        <v>0.3487960768762417</v>
      </c>
      <c r="DX8" s="6">
        <v>0.33364859994124929</v>
      </c>
      <c r="DY8" s="171">
        <v>1.1454597611956505</v>
      </c>
      <c r="DZ8" s="132">
        <v>1.6292495988728923</v>
      </c>
      <c r="EA8" s="132">
        <v>2.1895379921952287</v>
      </c>
      <c r="EB8" s="132">
        <v>2.8349613518983681</v>
      </c>
      <c r="EC8" s="78">
        <v>-0.1476586</v>
      </c>
      <c r="ED8" s="6">
        <v>-0.31006719999999999</v>
      </c>
      <c r="EE8" s="194">
        <v>-0.48720080000000004</v>
      </c>
      <c r="EF8" s="363">
        <v>0.11864892171181141</v>
      </c>
      <c r="EG8" s="175">
        <v>0.25196592399887874</v>
      </c>
      <c r="EH8" s="363">
        <v>0.37061484571069014</v>
      </c>
      <c r="EI8" s="6">
        <v>4.0861189035768852E-2</v>
      </c>
      <c r="EJ8" s="363">
        <v>0.411476034746459</v>
      </c>
      <c r="EK8" s="6">
        <v>-6.2679957870217295E-2</v>
      </c>
      <c r="EL8" s="194">
        <v>0.3487960768762417</v>
      </c>
      <c r="EM8" s="6">
        <v>0.11979395950796112</v>
      </c>
      <c r="EN8" s="194">
        <v>0.44255670923168067</v>
      </c>
      <c r="EO8">
        <v>468.27510000000001</v>
      </c>
    </row>
    <row r="9" spans="2:145" x14ac:dyDescent="0.25">
      <c r="B9" s="10" t="s">
        <v>94</v>
      </c>
      <c r="C9" s="10"/>
      <c r="D9" s="142" t="s">
        <v>86</v>
      </c>
      <c r="E9" s="290">
        <v>1</v>
      </c>
      <c r="F9" s="143">
        <v>45689</v>
      </c>
      <c r="H9" s="246">
        <v>163.57499694824219</v>
      </c>
      <c r="I9" s="25">
        <v>125.1</v>
      </c>
      <c r="J9" s="25">
        <v>-169.9</v>
      </c>
      <c r="K9" s="88">
        <v>5010.5</v>
      </c>
      <c r="L9">
        <v>17.5</v>
      </c>
      <c r="M9" s="76">
        <v>4840.6000000000004</v>
      </c>
      <c r="N9" s="89">
        <v>25321.332118225095</v>
      </c>
      <c r="O9" s="3">
        <v>5122.2000000000007</v>
      </c>
      <c r="P9" s="3">
        <v>5265.2000000000007</v>
      </c>
      <c r="Q9" s="3">
        <v>5681.1</v>
      </c>
      <c r="R9" s="3">
        <v>6058.8156586499999</v>
      </c>
      <c r="S9" s="3">
        <v>6592.0376268628943</v>
      </c>
      <c r="T9" s="3">
        <v>7271.8068781248749</v>
      </c>
      <c r="U9" s="3">
        <v>8040.8757732001868</v>
      </c>
      <c r="V9" s="3">
        <v>8913.6000494804575</v>
      </c>
      <c r="W9" s="3">
        <v>9907.0217768565199</v>
      </c>
      <c r="X9" s="90">
        <v>0.6</v>
      </c>
      <c r="Y9" s="90">
        <v>0.6</v>
      </c>
      <c r="Z9" s="90">
        <v>0.6</v>
      </c>
      <c r="AA9" s="90">
        <v>0.6</v>
      </c>
      <c r="AB9" s="90">
        <v>0.6</v>
      </c>
      <c r="AC9" s="90">
        <v>0.6</v>
      </c>
      <c r="AD9" s="90">
        <v>0.6</v>
      </c>
      <c r="AE9" s="90">
        <v>0.6</v>
      </c>
      <c r="AF9" s="90">
        <v>0.6</v>
      </c>
      <c r="AG9" s="144">
        <v>3073.32</v>
      </c>
      <c r="AH9" s="144">
        <v>3159.1200000000003</v>
      </c>
      <c r="AI9" s="144">
        <v>3408.6600000000003</v>
      </c>
      <c r="AJ9" s="144">
        <v>3635.2893951900001</v>
      </c>
      <c r="AK9" s="144">
        <v>3955.2225761177365</v>
      </c>
      <c r="AL9" s="144">
        <v>4363.0841268749246</v>
      </c>
      <c r="AM9" s="144">
        <v>4824.5254639201121</v>
      </c>
      <c r="AN9" s="144">
        <v>5348.1600296882743</v>
      </c>
      <c r="AO9" s="144">
        <v>5944.2130661139117</v>
      </c>
      <c r="AP9" s="11">
        <v>7.5636658556366578</v>
      </c>
      <c r="AQ9" s="11">
        <v>6.7110573042776425</v>
      </c>
      <c r="AR9" s="11">
        <v>7.2866293034427541</v>
      </c>
      <c r="AS9" s="11">
        <v>7.6486704270749399</v>
      </c>
      <c r="AT9" s="11">
        <v>9.2053868346021979</v>
      </c>
      <c r="AU9" s="11">
        <v>11.430042109174135</v>
      </c>
      <c r="AV9" s="11">
        <v>14.091333044540251</v>
      </c>
      <c r="AW9" s="11">
        <v>17.431749859939128</v>
      </c>
      <c r="AX9" s="11">
        <v>21.468126656839669</v>
      </c>
      <c r="AY9" s="145">
        <v>7.5636658556366578</v>
      </c>
      <c r="AZ9" s="145">
        <v>6.7110573042776425</v>
      </c>
      <c r="BA9" s="145">
        <v>7.2866293034427541</v>
      </c>
      <c r="BB9" s="145">
        <v>7.6486704270749399</v>
      </c>
      <c r="BC9" s="145">
        <v>9.2053868346021979</v>
      </c>
      <c r="BD9" s="145">
        <v>11.430042109174135</v>
      </c>
      <c r="BE9" s="145">
        <v>14.091333044540251</v>
      </c>
      <c r="BF9" s="145">
        <v>17.431749859939128</v>
      </c>
      <c r="BG9" s="145">
        <v>21.468126656839669</v>
      </c>
      <c r="BH9" s="5">
        <v>4.4571178325016447</v>
      </c>
      <c r="BI9" s="5">
        <v>4.1792544194795802</v>
      </c>
      <c r="BJ9" s="5">
        <v>3.8411995731091335</v>
      </c>
      <c r="BK9" s="5">
        <v>3.4821238438546809</v>
      </c>
      <c r="BL9" s="5">
        <v>3.1490763981977876</v>
      </c>
      <c r="BM9" s="5">
        <v>2.8407525553831627</v>
      </c>
      <c r="BN9" s="5">
        <v>2.555897492562039</v>
      </c>
      <c r="BO9" s="5">
        <v>6.4019992885152224</v>
      </c>
      <c r="BP9" s="5">
        <v>5.8035397397578015</v>
      </c>
      <c r="BQ9" s="5">
        <v>5.2484606636629794</v>
      </c>
      <c r="BR9" s="5">
        <v>4.7345875923052709</v>
      </c>
      <c r="BS9" s="5">
        <v>4.259829154270065</v>
      </c>
      <c r="BT9" s="5">
        <v>17.7694864851718</v>
      </c>
      <c r="BU9" s="5">
        <v>14.310970632116168</v>
      </c>
      <c r="BV9" s="5">
        <v>11.608198914269508</v>
      </c>
      <c r="BW9" s="5">
        <v>9.3837393412902834</v>
      </c>
      <c r="BX9" s="5">
        <v>7.6194350612389261</v>
      </c>
      <c r="BY9" s="8">
        <v>17.7694864851718</v>
      </c>
      <c r="BZ9" s="5">
        <v>14.310970632116168</v>
      </c>
      <c r="CA9" s="5">
        <v>11.608198914269508</v>
      </c>
      <c r="CB9" s="5">
        <v>9.3837393412902834</v>
      </c>
      <c r="CC9" s="5">
        <v>7.6194350612389261</v>
      </c>
      <c r="CE9" s="82">
        <v>20</v>
      </c>
      <c r="CF9" s="82">
        <v>20</v>
      </c>
      <c r="CG9" s="168">
        <v>20</v>
      </c>
      <c r="CH9" s="82">
        <v>20</v>
      </c>
      <c r="CI9" s="82">
        <v>20</v>
      </c>
      <c r="CJ9" s="91"/>
      <c r="CK9" s="91"/>
      <c r="CL9" s="91"/>
      <c r="CM9" s="91"/>
      <c r="CN9" s="91"/>
      <c r="CO9" s="92">
        <v>228.60084218348271</v>
      </c>
      <c r="CP9" s="92">
        <v>281.82666089080504</v>
      </c>
      <c r="CQ9" s="92">
        <v>348.63499719878257</v>
      </c>
      <c r="CR9" s="92">
        <v>429.36253313679339</v>
      </c>
      <c r="CS9" s="93"/>
      <c r="CT9" s="93"/>
      <c r="CU9" s="93"/>
      <c r="CV9" s="93"/>
      <c r="CW9" s="93"/>
      <c r="CX9" s="93"/>
      <c r="CY9" s="92"/>
      <c r="CZ9" s="92"/>
      <c r="DA9" s="92"/>
      <c r="DB9" s="92"/>
      <c r="DC9" s="92"/>
      <c r="DD9" s="243">
        <v>119.58966260857466</v>
      </c>
      <c r="DE9" s="243">
        <v>113.88803836725509</v>
      </c>
      <c r="DF9" s="243">
        <v>107.73848287094648</v>
      </c>
      <c r="DG9" s="243">
        <v>101.3771504295417</v>
      </c>
      <c r="DH9" s="243">
        <v>94.919031815973767</v>
      </c>
      <c r="DI9" s="94"/>
      <c r="DJ9" s="94"/>
      <c r="DK9" s="94"/>
      <c r="DL9" s="94"/>
      <c r="DM9" s="94"/>
      <c r="DN9" s="93"/>
      <c r="DO9" s="93"/>
      <c r="DP9" s="93">
        <v>1.9697018533440775</v>
      </c>
      <c r="DQ9" s="93">
        <v>2.0681869460112816</v>
      </c>
      <c r="DR9" s="93">
        <v>2.171596293311846</v>
      </c>
      <c r="DS9" s="93">
        <v>2.2801761079774385</v>
      </c>
      <c r="DT9" s="93">
        <v>2.3941849133763107</v>
      </c>
      <c r="DU9" s="96">
        <v>0.73179457441440232</v>
      </c>
      <c r="DV9" s="96">
        <v>0.40937851385318003</v>
      </c>
      <c r="DW9" s="95">
        <v>0.34293887094106812</v>
      </c>
      <c r="DX9" s="95">
        <v>0.31203540083958514</v>
      </c>
      <c r="DY9" s="171">
        <v>1.409570828907202</v>
      </c>
      <c r="DZ9" s="132">
        <v>1.7476054105054493</v>
      </c>
      <c r="EA9" s="132">
        <v>2.1693075892505038</v>
      </c>
      <c r="EB9" s="132">
        <v>2.6767672474784248</v>
      </c>
      <c r="EC9" s="96">
        <v>-0.1663694</v>
      </c>
      <c r="ED9" s="95">
        <v>-0.16244240000000001</v>
      </c>
      <c r="EE9" s="231">
        <v>-0.20694749999999998</v>
      </c>
      <c r="EF9" s="363">
        <v>0.1057107718752528</v>
      </c>
      <c r="EG9" s="175">
        <v>6.200623219207313E-2</v>
      </c>
      <c r="EH9" s="363">
        <v>0.16771700406732593</v>
      </c>
      <c r="EI9" s="6">
        <v>7.9126238320714221E-2</v>
      </c>
      <c r="EJ9" s="363">
        <v>0.24684324238804015</v>
      </c>
      <c r="EK9" s="6">
        <v>9.6095628553027973E-2</v>
      </c>
      <c r="EL9" s="231">
        <v>0.34293887094106812</v>
      </c>
      <c r="EM9" s="95">
        <v>0.10580314804052016</v>
      </c>
      <c r="EN9" s="231">
        <v>0.23718025624989103</v>
      </c>
      <c r="EO9">
        <v>13657.296896</v>
      </c>
    </row>
    <row r="10" spans="2:145" x14ac:dyDescent="0.25">
      <c r="B10" s="10" t="s">
        <v>133</v>
      </c>
      <c r="C10" s="10"/>
      <c r="D10" s="142" t="s">
        <v>23</v>
      </c>
      <c r="E10" s="290">
        <v>1</v>
      </c>
      <c r="F10" s="186">
        <v>46119</v>
      </c>
      <c r="G10" s="147"/>
      <c r="H10" s="225">
        <v>23.245000839233398</v>
      </c>
      <c r="I10" s="25">
        <v>618</v>
      </c>
      <c r="J10" s="25">
        <v>-1770</v>
      </c>
      <c r="K10" s="2">
        <v>0</v>
      </c>
      <c r="L10" s="2"/>
      <c r="M10" s="80">
        <v>-1770</v>
      </c>
      <c r="N10" s="184">
        <v>12595.41051864624</v>
      </c>
      <c r="O10" s="226">
        <v>836.47058823529414</v>
      </c>
      <c r="P10" s="226">
        <v>1243.5294117647059</v>
      </c>
      <c r="Q10" s="226">
        <v>1667.0588235294117</v>
      </c>
      <c r="R10" s="226">
        <v>2218.8235294117649</v>
      </c>
      <c r="S10" s="226">
        <v>2766.5202184429131</v>
      </c>
      <c r="T10" s="226">
        <v>3355.8447437291056</v>
      </c>
      <c r="U10" s="226">
        <v>3937.7107749017882</v>
      </c>
      <c r="V10" s="226">
        <v>4525.3813441566444</v>
      </c>
      <c r="W10" s="226">
        <v>5045.177733992713</v>
      </c>
      <c r="X10" s="135">
        <v>0.85</v>
      </c>
      <c r="Y10" s="135">
        <v>0.85</v>
      </c>
      <c r="Z10" s="135">
        <v>0.85</v>
      </c>
      <c r="AA10" s="135">
        <v>0.85</v>
      </c>
      <c r="AB10" s="135">
        <v>0.85</v>
      </c>
      <c r="AC10" s="135">
        <v>0.85</v>
      </c>
      <c r="AD10" s="135">
        <v>0.85</v>
      </c>
      <c r="AE10" s="135">
        <v>0.85</v>
      </c>
      <c r="AF10" s="135">
        <v>0.85</v>
      </c>
      <c r="AG10" s="146">
        <v>711</v>
      </c>
      <c r="AH10" s="146">
        <v>1057</v>
      </c>
      <c r="AI10" s="146">
        <v>1417</v>
      </c>
      <c r="AJ10" s="146">
        <v>1886</v>
      </c>
      <c r="AK10" s="146">
        <v>2351.542185676476</v>
      </c>
      <c r="AL10" s="146">
        <v>2852.4680321697397</v>
      </c>
      <c r="AM10" s="146">
        <v>3347.0541586665199</v>
      </c>
      <c r="AN10" s="146">
        <v>3846.574142533148</v>
      </c>
      <c r="AO10" s="146">
        <v>4288.4010738938059</v>
      </c>
      <c r="AP10" s="148"/>
      <c r="AQ10" s="148"/>
      <c r="AR10" s="148"/>
      <c r="AS10" s="148">
        <v>1.001095324982026</v>
      </c>
      <c r="AT10" s="148">
        <v>1.2767032700718386</v>
      </c>
      <c r="AU10" s="148">
        <v>1.5569277900596412</v>
      </c>
      <c r="AV10" s="148">
        <v>2.0688851193213758</v>
      </c>
      <c r="AW10" s="11">
        <v>2.6263593359554345</v>
      </c>
      <c r="AX10" s="11">
        <v>3.0576893207543643</v>
      </c>
      <c r="AY10" s="225"/>
      <c r="AZ10" s="225"/>
      <c r="BA10" s="225"/>
      <c r="BB10" s="225">
        <v>0.50670326481290906</v>
      </c>
      <c r="BC10" s="225">
        <v>0.76067461530419445</v>
      </c>
      <c r="BD10" s="225">
        <v>1.0093957872932604</v>
      </c>
      <c r="BE10" s="225">
        <v>1.474515646936406</v>
      </c>
      <c r="BF10" s="227">
        <v>2.0073511841619149</v>
      </c>
      <c r="BG10" s="227">
        <v>2.5692709064655026</v>
      </c>
      <c r="BH10" s="5"/>
      <c r="BI10" s="5"/>
      <c r="BJ10" s="5"/>
      <c r="BK10" s="5"/>
      <c r="BL10" s="5"/>
      <c r="BM10" s="5"/>
      <c r="BN10" s="5"/>
      <c r="BO10" s="228">
        <v>5.3562341323776321</v>
      </c>
      <c r="BP10" s="5">
        <v>4.4156184667442169</v>
      </c>
      <c r="BQ10" s="5">
        <v>3.7631331677239137</v>
      </c>
      <c r="BR10" s="5">
        <v>3.2744489127022458</v>
      </c>
      <c r="BS10" s="5">
        <v>2.9370878100284101</v>
      </c>
      <c r="BT10" s="5"/>
      <c r="BU10" s="5">
        <v>14.930044275427155</v>
      </c>
      <c r="BV10" s="5">
        <v>11.235520339987797</v>
      </c>
      <c r="BW10" s="5">
        <v>8.8506551715921908</v>
      </c>
      <c r="BX10" s="5">
        <v>7.6021460654801292</v>
      </c>
      <c r="BY10" s="8">
        <v>30.558402201889834</v>
      </c>
      <c r="BZ10" s="5">
        <v>23.028628741918865</v>
      </c>
      <c r="CA10" s="5">
        <v>15.764499269661481</v>
      </c>
      <c r="CB10" s="5">
        <v>11.579937293801619</v>
      </c>
      <c r="CC10" s="5">
        <v>9.0473140768215465</v>
      </c>
      <c r="CD10" t="s">
        <v>62</v>
      </c>
      <c r="CE10" s="12">
        <v>25</v>
      </c>
      <c r="CF10" s="12">
        <v>25</v>
      </c>
      <c r="CG10" s="167">
        <v>25</v>
      </c>
      <c r="CH10" s="12">
        <v>25</v>
      </c>
      <c r="CI10" s="12">
        <v>25</v>
      </c>
      <c r="CJ10" s="46">
        <v>48.482081600948639</v>
      </c>
      <c r="CK10" s="46">
        <v>56.855635514001193</v>
      </c>
      <c r="CL10" s="46">
        <v>65.781378419703287</v>
      </c>
      <c r="CM10" s="46">
        <v>75.385267383300743</v>
      </c>
      <c r="CN10" s="46">
        <v>84.899722401886109</v>
      </c>
      <c r="CO10" s="136">
        <v>25.234894682331511</v>
      </c>
      <c r="CP10" s="136">
        <v>36.862891173410148</v>
      </c>
      <c r="CQ10" s="136">
        <v>50.183779604047871</v>
      </c>
      <c r="CR10" s="136">
        <v>64.231772661637564</v>
      </c>
      <c r="CS10" s="7"/>
      <c r="CT10" s="7"/>
      <c r="CU10" s="7"/>
      <c r="CV10" s="7"/>
      <c r="CW10" s="7"/>
      <c r="CX10" s="7"/>
      <c r="CY10" s="137">
        <v>71311.70080424349</v>
      </c>
      <c r="CZ10" s="137">
        <v>83676.353966662995</v>
      </c>
      <c r="DA10" s="137">
        <v>96164.353563328696</v>
      </c>
      <c r="DB10" s="137">
        <v>107210.02684734514</v>
      </c>
      <c r="DC10" s="101"/>
      <c r="DD10" s="185">
        <v>609.22541454590282</v>
      </c>
      <c r="DE10" s="185">
        <v>594.75401436623861</v>
      </c>
      <c r="DF10" s="185">
        <v>577.90502414188097</v>
      </c>
      <c r="DG10" s="185">
        <v>559.47181168493535</v>
      </c>
      <c r="DH10" s="185">
        <v>540.0111738138753</v>
      </c>
      <c r="DI10" s="40">
        <v>-1991</v>
      </c>
      <c r="DJ10" s="40">
        <v>-1991</v>
      </c>
      <c r="DK10" s="40">
        <v>-1991</v>
      </c>
      <c r="DL10" s="40">
        <v>-1991</v>
      </c>
      <c r="DM10" s="40"/>
      <c r="DN10" s="7"/>
      <c r="DO10" s="7"/>
      <c r="DP10" s="7"/>
      <c r="DQ10" s="7"/>
      <c r="DR10" s="7"/>
      <c r="DS10" s="7"/>
      <c r="DT10" s="7"/>
      <c r="DU10" s="78">
        <v>0.14185707177036266</v>
      </c>
      <c r="DV10" s="78">
        <v>0.32947424229517064</v>
      </c>
      <c r="DW10" s="6">
        <v>0.34156026158316588</v>
      </c>
      <c r="DX10" s="6">
        <v>0.32424094933172443</v>
      </c>
      <c r="DY10" s="171">
        <v>1.0856052385999284</v>
      </c>
      <c r="DZ10" s="132">
        <v>1.5858416796093286</v>
      </c>
      <c r="EA10" s="132">
        <v>2.1589063365120054</v>
      </c>
      <c r="EB10" s="132">
        <v>2.7632510364648315</v>
      </c>
      <c r="EC10" s="78">
        <v>-0.20065339999999998</v>
      </c>
      <c r="ED10" s="6">
        <v>-0.1590087</v>
      </c>
      <c r="EE10" s="194">
        <v>-0.2945372</v>
      </c>
      <c r="EF10" s="363">
        <v>0.17129200548948176</v>
      </c>
      <c r="EG10" s="175">
        <v>0.17485787111838769</v>
      </c>
      <c r="EH10" s="363">
        <v>0.34614987660786944</v>
      </c>
      <c r="EI10" s="6">
        <v>3.88202625787335E-2</v>
      </c>
      <c r="EJ10" s="363">
        <v>0.38497013918660294</v>
      </c>
      <c r="EK10" s="6">
        <v>-4.3409877603437064E-2</v>
      </c>
      <c r="EL10" s="194">
        <v>0.34156026158316588</v>
      </c>
      <c r="EM10" s="6">
        <v>0.1782581285576279</v>
      </c>
      <c r="EN10" s="194">
        <v>0.38189425609522432</v>
      </c>
      <c r="EO10">
        <v>10703.026175999999</v>
      </c>
    </row>
    <row r="11" spans="2:145" x14ac:dyDescent="0.25">
      <c r="B11" s="10" t="s">
        <v>69</v>
      </c>
      <c r="C11" s="10"/>
      <c r="D11" s="38" t="s">
        <v>18</v>
      </c>
      <c r="E11">
        <v>1</v>
      </c>
      <c r="F11" s="186">
        <v>45991</v>
      </c>
      <c r="G11" s="147"/>
      <c r="H11" s="149">
        <v>132.07499694824219</v>
      </c>
      <c r="I11" s="3">
        <v>263.411</v>
      </c>
      <c r="J11" s="25">
        <v>-8017</v>
      </c>
      <c r="K11" s="3">
        <v>2984</v>
      </c>
      <c r="L11" s="3"/>
      <c r="M11" s="76">
        <v>-5033</v>
      </c>
      <c r="N11" s="76">
        <v>29757.007021133424</v>
      </c>
      <c r="O11" s="3">
        <v>6215.8180000000002</v>
      </c>
      <c r="P11" s="3">
        <v>7258.7529999999997</v>
      </c>
      <c r="Q11" s="3">
        <v>8446</v>
      </c>
      <c r="R11" s="3">
        <v>9552</v>
      </c>
      <c r="S11" s="3">
        <v>10723.337173472532</v>
      </c>
      <c r="T11" s="3">
        <v>11959.266078079638</v>
      </c>
      <c r="U11" s="3">
        <v>13226.359620127845</v>
      </c>
      <c r="V11" s="3">
        <v>14542.970161682069</v>
      </c>
      <c r="W11" s="3">
        <v>15876.670783480509</v>
      </c>
      <c r="X11" s="21">
        <v>0.76955631583807638</v>
      </c>
      <c r="Y11" s="21">
        <v>0.79683535174705644</v>
      </c>
      <c r="Z11" s="21">
        <v>0.78886877811982004</v>
      </c>
      <c r="AA11" s="21">
        <v>0.79169571293969843</v>
      </c>
      <c r="AB11" s="21">
        <v>0.80060816675534041</v>
      </c>
      <c r="AC11" s="21">
        <v>0.80656338337168187</v>
      </c>
      <c r="AD11" s="21">
        <v>0.81225976229958108</v>
      </c>
      <c r="AE11" s="21">
        <v>0.81644820955247521</v>
      </c>
      <c r="AF11" s="21">
        <v>0.82046165680536953</v>
      </c>
      <c r="AG11" s="144">
        <v>4783.4220000000005</v>
      </c>
      <c r="AH11" s="144">
        <v>5784.0310000000009</v>
      </c>
      <c r="AI11" s="144">
        <v>6662.7857000000004</v>
      </c>
      <c r="AJ11" s="144">
        <v>7562.2774499999996</v>
      </c>
      <c r="AK11" s="144">
        <v>8585.1913159532378</v>
      </c>
      <c r="AL11" s="144">
        <v>9645.9061105780966</v>
      </c>
      <c r="AM11" s="144">
        <v>10743.239721133821</v>
      </c>
      <c r="AN11" s="144">
        <v>11873.581950080397</v>
      </c>
      <c r="AO11" s="144">
        <v>13026.199615567823</v>
      </c>
      <c r="AP11" s="11"/>
      <c r="AQ11" s="11">
        <v>5.6577043245670042</v>
      </c>
      <c r="AR11" s="11">
        <v>7.1343200424112165</v>
      </c>
      <c r="AS11" s="11">
        <v>9.0770109223297197</v>
      </c>
      <c r="AT11" s="11">
        <v>10.410325434006873</v>
      </c>
      <c r="AU11" s="11">
        <v>13.111933868471581</v>
      </c>
      <c r="AV11" s="11">
        <v>15.687176424171058</v>
      </c>
      <c r="AW11" s="11">
        <v>18.590368689046578</v>
      </c>
      <c r="AX11" s="11">
        <v>21.987372774054766</v>
      </c>
      <c r="AY11" s="11"/>
      <c r="AZ11" s="11">
        <v>1.3596545124511383</v>
      </c>
      <c r="BA11" s="11">
        <v>2.6061783689527882</v>
      </c>
      <c r="BB11" s="11">
        <v>4.2675467582387334</v>
      </c>
      <c r="BC11" s="11">
        <v>5.5610566438695406</v>
      </c>
      <c r="BD11" s="11">
        <v>7.7961783210296796</v>
      </c>
      <c r="BE11" s="11">
        <v>9.9297271943992715</v>
      </c>
      <c r="BF11" s="11">
        <v>12.341412845554347</v>
      </c>
      <c r="BG11" s="11">
        <v>15.251910388180491</v>
      </c>
      <c r="BH11" s="5">
        <v>3.5232070827768678</v>
      </c>
      <c r="BI11" s="5">
        <v>3.1152645541387587</v>
      </c>
      <c r="BJ11" s="5">
        <v>2.7749763473582201</v>
      </c>
      <c r="BK11" s="5">
        <v>2.4881967527819788</v>
      </c>
      <c r="BL11" s="5">
        <v>2.2498259442340638</v>
      </c>
      <c r="BM11" s="5">
        <v>2.0461437168823613</v>
      </c>
      <c r="BN11" s="5">
        <v>1.8742598764531442</v>
      </c>
      <c r="BO11" s="5">
        <v>3.4660854867425188</v>
      </c>
      <c r="BP11" s="5">
        <v>3.0849364155121384</v>
      </c>
      <c r="BQ11" s="5">
        <v>2.7698355238779802</v>
      </c>
      <c r="BR11" s="5">
        <v>2.5061524943559208</v>
      </c>
      <c r="BS11" s="5">
        <v>2.284396669737069</v>
      </c>
      <c r="BT11" s="5">
        <v>12.686922977143405</v>
      </c>
      <c r="BU11" s="5">
        <v>10.072884615886014</v>
      </c>
      <c r="BV11" s="5">
        <v>8.4192969707881193</v>
      </c>
      <c r="BW11" s="5">
        <v>7.1044850781286879</v>
      </c>
      <c r="BX11" s="5">
        <v>6.0068566765780895</v>
      </c>
      <c r="BY11" s="199">
        <v>23.749982315652275</v>
      </c>
      <c r="BZ11" s="5">
        <v>16.94099230541951</v>
      </c>
      <c r="CA11" s="5">
        <v>13.30096933808386</v>
      </c>
      <c r="CB11" s="5">
        <v>10.701772852191599</v>
      </c>
      <c r="CC11" s="5">
        <v>8.6595707414196497</v>
      </c>
      <c r="CD11" t="s">
        <v>63</v>
      </c>
      <c r="CE11" s="12">
        <v>22</v>
      </c>
      <c r="CF11" s="12">
        <v>22</v>
      </c>
      <c r="CG11" s="167">
        <v>22</v>
      </c>
      <c r="CH11" s="12">
        <v>22</v>
      </c>
      <c r="CI11" s="82">
        <v>20</v>
      </c>
      <c r="CJ11" s="46"/>
      <c r="CK11" s="46"/>
      <c r="CL11" s="46"/>
      <c r="CM11" s="46"/>
      <c r="CN11" s="46"/>
      <c r="CO11" s="176">
        <v>180.93166457170605</v>
      </c>
      <c r="CP11" s="176">
        <v>228.34967875929877</v>
      </c>
      <c r="CQ11" s="176">
        <v>281.87397128700422</v>
      </c>
      <c r="CR11" s="176">
        <v>346.4335677345652</v>
      </c>
      <c r="CS11" s="7"/>
      <c r="CT11" s="7">
        <v>9.4157415090531167</v>
      </c>
      <c r="CU11" s="7">
        <v>9.8956804825147859</v>
      </c>
      <c r="CV11" s="7">
        <v>10.362888684808595</v>
      </c>
      <c r="CW11" s="7">
        <v>10.891539194594367</v>
      </c>
      <c r="CX11" s="7">
        <v>11.486061651712326</v>
      </c>
      <c r="CY11" s="41">
        <v>46054.855109972115</v>
      </c>
      <c r="CZ11" s="41">
        <v>57106.681334615001</v>
      </c>
      <c r="DA11" s="41">
        <v>67502.046311632002</v>
      </c>
      <c r="DB11" s="41">
        <v>79648.601162355088</v>
      </c>
      <c r="DC11" s="19"/>
      <c r="DD11" s="40">
        <v>268.11700000000002</v>
      </c>
      <c r="DE11" s="40">
        <v>260.83978597315854</v>
      </c>
      <c r="DF11" s="40">
        <v>248.1890966810862</v>
      </c>
      <c r="DG11" s="40">
        <v>236.9995543424447</v>
      </c>
      <c r="DH11" s="40">
        <v>225.4961356810752</v>
      </c>
      <c r="DI11" s="40">
        <v>-2456</v>
      </c>
      <c r="DJ11" s="40">
        <v>-2456</v>
      </c>
      <c r="DK11" s="40">
        <v>-2456</v>
      </c>
      <c r="DL11" s="40">
        <v>-2456</v>
      </c>
      <c r="DM11" s="40">
        <v>-2456</v>
      </c>
      <c r="DN11" s="7"/>
      <c r="DO11" s="7"/>
      <c r="DP11" s="7"/>
      <c r="DQ11" s="7"/>
      <c r="DR11" s="7"/>
      <c r="DS11" s="7"/>
      <c r="DT11" s="7"/>
      <c r="DU11" s="78">
        <v>0.66251973371720063</v>
      </c>
      <c r="DV11" s="78">
        <v>0.40233624189899775</v>
      </c>
      <c r="DW11" s="6">
        <v>0.33567686902856386</v>
      </c>
      <c r="DX11" s="6">
        <v>0.30531913205671191</v>
      </c>
      <c r="DY11" s="171">
        <v>1.3699160988253507</v>
      </c>
      <c r="DZ11" s="132">
        <v>1.7289394967677711</v>
      </c>
      <c r="EA11" s="132">
        <v>2.1341963111872384</v>
      </c>
      <c r="EB11" s="132">
        <v>2.623006441335193</v>
      </c>
      <c r="EC11" s="78">
        <v>6.6583199999999995E-2</v>
      </c>
      <c r="ED11" s="6">
        <v>-5.6741919999999994E-2</v>
      </c>
      <c r="EE11" s="194">
        <v>-0.41001070000000001</v>
      </c>
      <c r="EF11" s="363">
        <v>0.10509136701304578</v>
      </c>
      <c r="EG11" s="189">
        <v>0.12576663479537631</v>
      </c>
      <c r="EH11" s="365">
        <v>0.23085800180842209</v>
      </c>
      <c r="EI11" s="189">
        <v>8.310327897492531E-2</v>
      </c>
      <c r="EJ11" s="365">
        <v>0.3139612807833474</v>
      </c>
      <c r="EK11" s="189">
        <v>2.1715588245216466E-2</v>
      </c>
      <c r="EL11" s="194">
        <v>0.33567686902856386</v>
      </c>
      <c r="EM11" s="6">
        <v>0.11415066923161898</v>
      </c>
      <c r="EN11" s="235">
        <v>0.30437516281396637</v>
      </c>
      <c r="EO11">
        <v>9511.9656959999993</v>
      </c>
    </row>
    <row r="12" spans="2:145" ht="15.75" x14ac:dyDescent="0.25">
      <c r="B12" s="10" t="s">
        <v>182</v>
      </c>
      <c r="C12" s="10"/>
      <c r="D12" s="161" t="s">
        <v>159</v>
      </c>
      <c r="E12" s="289"/>
      <c r="F12" s="151">
        <v>46119</v>
      </c>
      <c r="G12" s="63"/>
      <c r="H12" s="152">
        <v>78.375</v>
      </c>
      <c r="I12" s="64">
        <v>443.83499999999998</v>
      </c>
      <c r="J12" s="64">
        <v>-2312</v>
      </c>
      <c r="K12" s="86">
        <v>9042</v>
      </c>
      <c r="L12" s="63"/>
      <c r="M12" s="72">
        <v>6730</v>
      </c>
      <c r="N12" s="153">
        <v>41515.568124999998</v>
      </c>
      <c r="O12" s="154">
        <v>8080</v>
      </c>
      <c r="P12" s="154">
        <v>8544</v>
      </c>
      <c r="Q12" s="154">
        <v>9256</v>
      </c>
      <c r="R12" s="154">
        <v>9467</v>
      </c>
      <c r="S12" s="154">
        <v>9854.4734482049607</v>
      </c>
      <c r="T12" s="154">
        <v>10398.411332757769</v>
      </c>
      <c r="U12" s="154">
        <v>11056.024870237046</v>
      </c>
      <c r="V12" s="154">
        <v>11971.287497969332</v>
      </c>
      <c r="W12" s="154">
        <v>13027.291673030672</v>
      </c>
      <c r="X12" s="65">
        <v>0.69801980198019797</v>
      </c>
      <c r="Y12" s="65">
        <v>0.70177902621722843</v>
      </c>
      <c r="Z12" s="65">
        <v>0.70678478824546243</v>
      </c>
      <c r="AA12" s="65">
        <v>0.71934086827928589</v>
      </c>
      <c r="AB12" s="65">
        <v>0.72054637150066392</v>
      </c>
      <c r="AC12" s="65">
        <v>0.72208708227518992</v>
      </c>
      <c r="AD12" s="65">
        <v>0.72374734559603282</v>
      </c>
      <c r="AE12" s="65">
        <v>0.72575448755622696</v>
      </c>
      <c r="AF12" s="65">
        <v>0.72771985096481107</v>
      </c>
      <c r="AG12" s="155">
        <v>5640</v>
      </c>
      <c r="AH12" s="155">
        <v>5996</v>
      </c>
      <c r="AI12" s="155">
        <v>6542</v>
      </c>
      <c r="AJ12" s="155">
        <v>6810</v>
      </c>
      <c r="AK12" s="155">
        <v>7100.6050861537205</v>
      </c>
      <c r="AL12" s="155">
        <v>7508.5584995683266</v>
      </c>
      <c r="AM12" s="155">
        <v>8001.7686526777852</v>
      </c>
      <c r="AN12" s="155">
        <v>8688.2156234769991</v>
      </c>
      <c r="AO12" s="155">
        <v>9480.2187547730045</v>
      </c>
      <c r="AP12" s="156">
        <v>4.883233946660714</v>
      </c>
      <c r="AQ12" s="156">
        <v>5.3147306943543153</v>
      </c>
      <c r="AR12" s="156">
        <v>5.9212840809146874</v>
      </c>
      <c r="AS12" s="156">
        <v>6.4145459461286292</v>
      </c>
      <c r="AT12" s="156">
        <v>6.6244047180360681</v>
      </c>
      <c r="AU12" s="156">
        <v>7.2631675260413004</v>
      </c>
      <c r="AV12" s="156">
        <v>8.0798036104178514</v>
      </c>
      <c r="AW12" s="156">
        <v>9.1971697927041181</v>
      </c>
      <c r="AX12" s="156">
        <v>10.515168730382952</v>
      </c>
      <c r="AY12" s="157">
        <v>4.7514270225453616</v>
      </c>
      <c r="AZ12" s="157">
        <v>5.1849448410123298</v>
      </c>
      <c r="BA12" s="157">
        <v>5.7585751978891819</v>
      </c>
      <c r="BB12" s="157">
        <v>6.227539513557967</v>
      </c>
      <c r="BC12" s="157">
        <v>6.4250916267108149</v>
      </c>
      <c r="BD12" s="157">
        <v>7.0481790189630598</v>
      </c>
      <c r="BE12" s="157">
        <v>7.8463899697765473</v>
      </c>
      <c r="BF12" s="157">
        <v>8.9391736276407947</v>
      </c>
      <c r="BG12" s="157">
        <v>10.228619206490722</v>
      </c>
      <c r="BH12" s="158">
        <v>4.485260169079516</v>
      </c>
      <c r="BI12" s="158">
        <v>4.3852929254251611</v>
      </c>
      <c r="BJ12" s="158">
        <v>4.2128651868824365</v>
      </c>
      <c r="BK12" s="158">
        <v>3.9924914293604532</v>
      </c>
      <c r="BL12" s="158">
        <v>3.7550176136778068</v>
      </c>
      <c r="BM12" s="158">
        <v>3.4679284188974839</v>
      </c>
      <c r="BN12" s="158">
        <v>3.1868149702171986</v>
      </c>
      <c r="BO12" s="158">
        <v>5.8467648350076447</v>
      </c>
      <c r="BP12" s="158">
        <v>5.5290996437447699</v>
      </c>
      <c r="BQ12" s="158">
        <v>5.1882989782648679</v>
      </c>
      <c r="BR12" s="158">
        <v>4.7783768179990895</v>
      </c>
      <c r="BS12" s="158">
        <v>4.3791782867983038</v>
      </c>
      <c r="BT12" s="158">
        <v>11.831251763137409</v>
      </c>
      <c r="BU12" s="158">
        <v>10.790746560504756</v>
      </c>
      <c r="BV12" s="158">
        <v>9.7001120050672611</v>
      </c>
      <c r="BW12" s="158">
        <v>8.5216432627103291</v>
      </c>
      <c r="BX12" s="158">
        <v>7.4535180565900117</v>
      </c>
      <c r="BY12" s="66">
        <v>12.198269620650121</v>
      </c>
      <c r="BZ12" s="158">
        <v>11.119893491515013</v>
      </c>
      <c r="CA12" s="158">
        <v>9.9886699873307467</v>
      </c>
      <c r="CB12" s="158">
        <v>8.7675889589678491</v>
      </c>
      <c r="CC12" s="158">
        <v>7.6623245442812049</v>
      </c>
      <c r="CD12" s="63"/>
      <c r="CE12" s="67">
        <v>17</v>
      </c>
      <c r="CF12" s="67">
        <v>17</v>
      </c>
      <c r="CG12" s="169">
        <v>17</v>
      </c>
      <c r="CH12" s="67">
        <v>17</v>
      </c>
      <c r="CI12" s="67">
        <v>17</v>
      </c>
      <c r="CJ12" s="68"/>
      <c r="CK12" s="68"/>
      <c r="CL12" s="68"/>
      <c r="CM12" s="68"/>
      <c r="CN12" s="68"/>
      <c r="CO12" s="73">
        <v>119.81904332237201</v>
      </c>
      <c r="CP12" s="73">
        <v>133.3886294862013</v>
      </c>
      <c r="CQ12" s="73">
        <v>151.96595166989351</v>
      </c>
      <c r="CR12" s="73">
        <v>173.88652651034226</v>
      </c>
      <c r="CS12" s="69"/>
      <c r="CT12" s="69"/>
      <c r="CU12" s="69"/>
      <c r="CV12" s="69"/>
      <c r="CW12" s="69"/>
      <c r="CX12" s="69"/>
      <c r="CY12" s="74"/>
      <c r="CZ12" s="74"/>
      <c r="DA12" s="74"/>
      <c r="DB12" s="74"/>
      <c r="DC12" s="74"/>
      <c r="DD12" s="70">
        <v>433.47426000447155</v>
      </c>
      <c r="DE12" s="70">
        <v>424.05038740747284</v>
      </c>
      <c r="DF12" s="70">
        <v>415.27758443811967</v>
      </c>
      <c r="DG12" s="70">
        <v>406.81159759648955</v>
      </c>
      <c r="DH12" s="70">
        <v>398.58427503151796</v>
      </c>
      <c r="DI12" s="70">
        <v>6730</v>
      </c>
      <c r="DJ12" s="70">
        <v>6730</v>
      </c>
      <c r="DK12" s="70">
        <v>6730</v>
      </c>
      <c r="DL12" s="70">
        <v>6730</v>
      </c>
      <c r="DM12" s="70">
        <v>6730</v>
      </c>
      <c r="DN12" s="69"/>
      <c r="DO12" s="69"/>
      <c r="DP12" s="69">
        <v>2.3344999999999998</v>
      </c>
      <c r="DQ12" s="69">
        <v>2.6846749999999995</v>
      </c>
      <c r="DR12" s="69">
        <v>3.0873762499999993</v>
      </c>
      <c r="DS12" s="69">
        <v>3.5504826874999988</v>
      </c>
      <c r="DT12" s="69">
        <v>4.0830550906249981</v>
      </c>
      <c r="DU12" s="77">
        <v>1.0236789584227042</v>
      </c>
      <c r="DV12" s="77">
        <v>0.41516686454523333</v>
      </c>
      <c r="DW12" s="71">
        <v>0.31065201875754034</v>
      </c>
      <c r="DX12" s="71">
        <v>0.26717375972715018</v>
      </c>
      <c r="DY12" s="166">
        <v>1.5585779052296269</v>
      </c>
      <c r="DZ12">
        <v>1.7659687972721057</v>
      </c>
      <c r="EA12">
        <v>2.0423923817530274</v>
      </c>
      <c r="EB12">
        <v>2.3673819514876207</v>
      </c>
      <c r="EC12" s="77">
        <v>-0.35986269999999998</v>
      </c>
      <c r="ED12" s="71">
        <v>-0.38450659999999998</v>
      </c>
      <c r="EE12" s="195">
        <v>-0.33088489999999998</v>
      </c>
      <c r="EF12" s="363">
        <v>6.8600959534416805E-2</v>
      </c>
      <c r="EG12" s="71">
        <v>2.7059768551987107E-2</v>
      </c>
      <c r="EH12" s="363">
        <v>9.5660728086403912E-2</v>
      </c>
      <c r="EI12" s="71">
        <v>5.9939749195746156E-2</v>
      </c>
      <c r="EJ12" s="363">
        <v>0.15560047728215007</v>
      </c>
      <c r="EK12" s="71">
        <v>0.15505154147539027</v>
      </c>
      <c r="EL12" s="195">
        <v>0.31065201875754034</v>
      </c>
      <c r="EM12" s="71">
        <v>6.9576232749883671E-2</v>
      </c>
      <c r="EN12" s="195">
        <v>0.11636449526361048</v>
      </c>
      <c r="EO12">
        <v>9511.9656959999993</v>
      </c>
    </row>
    <row r="13" spans="2:145" x14ac:dyDescent="0.25">
      <c r="B13" s="10" t="s">
        <v>171</v>
      </c>
      <c r="C13" s="10"/>
      <c r="D13" s="38" t="s">
        <v>186</v>
      </c>
      <c r="E13">
        <v>1</v>
      </c>
      <c r="F13" s="143">
        <v>45809</v>
      </c>
      <c r="G13" s="147"/>
      <c r="H13" s="149">
        <v>183.22999572753906</v>
      </c>
      <c r="I13" s="39">
        <v>645.02771755555568</v>
      </c>
      <c r="J13" s="25">
        <v>0</v>
      </c>
      <c r="K13" s="2">
        <v>0</v>
      </c>
      <c r="L13" s="2"/>
      <c r="M13" s="76">
        <v>0</v>
      </c>
      <c r="N13" s="76">
        <v>118188.42593184875</v>
      </c>
      <c r="O13" s="3"/>
      <c r="P13" s="3"/>
      <c r="Q13" s="3">
        <v>56411</v>
      </c>
      <c r="R13" s="3">
        <v>53434</v>
      </c>
      <c r="S13" s="3">
        <v>62563.761249999996</v>
      </c>
      <c r="T13" s="3">
        <v>65935.143343749995</v>
      </c>
      <c r="U13" s="3">
        <v>69230.672844531247</v>
      </c>
      <c r="V13" s="3">
        <v>72702.350495371094</v>
      </c>
      <c r="W13" s="3">
        <v>76359.836579398921</v>
      </c>
      <c r="X13" s="4"/>
      <c r="Y13" s="4"/>
      <c r="Z13" s="4"/>
      <c r="AA13" s="4"/>
      <c r="AB13" s="4"/>
      <c r="AC13" s="4"/>
      <c r="AD13" s="4"/>
      <c r="AE13" s="4"/>
      <c r="AF13" s="4"/>
      <c r="AG13" s="146"/>
      <c r="AH13" s="146"/>
      <c r="AI13" s="146"/>
      <c r="AJ13" s="146"/>
      <c r="AK13" s="146"/>
      <c r="AL13" s="146"/>
      <c r="AM13" s="146"/>
      <c r="AN13" s="146"/>
      <c r="AO13" s="146"/>
      <c r="AP13" s="148"/>
      <c r="AQ13" s="148"/>
      <c r="AR13" s="148">
        <v>14.977270323566204</v>
      </c>
      <c r="AS13" s="148">
        <v>15.732464655255114</v>
      </c>
      <c r="AT13" s="148">
        <v>19.948806431374351</v>
      </c>
      <c r="AU13" s="148">
        <v>24.351433927846923</v>
      </c>
      <c r="AV13" s="148">
        <v>27.598444328460019</v>
      </c>
      <c r="AW13" s="11">
        <v>29.976042245849985</v>
      </c>
      <c r="AX13" s="11">
        <v>33.42645248873292</v>
      </c>
      <c r="AY13" s="148"/>
      <c r="AZ13" s="148"/>
      <c r="BA13" s="148">
        <v>14.977270323566204</v>
      </c>
      <c r="BB13" s="148">
        <v>15.732464655255114</v>
      </c>
      <c r="BC13" s="148">
        <v>19.948806431374351</v>
      </c>
      <c r="BD13" s="148">
        <v>24.351433927846923</v>
      </c>
      <c r="BE13" s="148">
        <v>27.598444328460019</v>
      </c>
      <c r="BF13" s="11">
        <v>29.976042245849985</v>
      </c>
      <c r="BG13" s="11">
        <v>33.42645248873292</v>
      </c>
      <c r="BH13" s="5"/>
      <c r="BI13" s="5">
        <v>2.2118581040507683</v>
      </c>
      <c r="BJ13" s="5">
        <v>1.8890876055161845</v>
      </c>
      <c r="BK13" s="5">
        <v>1.7924951693162863</v>
      </c>
      <c r="BL13" s="5">
        <v>1.7071685291469014</v>
      </c>
      <c r="BM13" s="5">
        <v>1.6256479347166872</v>
      </c>
      <c r="BN13" s="5">
        <v>1.5477825939158012</v>
      </c>
      <c r="BO13" s="5" t="s">
        <v>24</v>
      </c>
      <c r="BP13" s="5" t="s">
        <v>24</v>
      </c>
      <c r="BQ13" s="5" t="s">
        <v>24</v>
      </c>
      <c r="BR13" s="5" t="s">
        <v>24</v>
      </c>
      <c r="BS13" s="5" t="s">
        <v>24</v>
      </c>
      <c r="BT13" s="5">
        <v>9.1850104595413455</v>
      </c>
      <c r="BU13" s="5">
        <v>7.5244027218457799</v>
      </c>
      <c r="BV13" s="5">
        <v>6.6391421757997042</v>
      </c>
      <c r="BW13" s="5">
        <v>6.1125479549558026</v>
      </c>
      <c r="BX13" s="5">
        <v>5.4815866502525372</v>
      </c>
      <c r="BY13" s="8">
        <v>9.1850104595413455</v>
      </c>
      <c r="BZ13" s="5">
        <v>7.5244027218457799</v>
      </c>
      <c r="CA13" s="5">
        <v>6.6391421757997042</v>
      </c>
      <c r="CB13" s="5">
        <v>6.1125479549558026</v>
      </c>
      <c r="CC13" s="5">
        <v>5.4815866502525372</v>
      </c>
      <c r="CE13" s="12">
        <v>12</v>
      </c>
      <c r="CF13" s="12">
        <v>12</v>
      </c>
      <c r="CG13" s="167">
        <v>12</v>
      </c>
      <c r="CH13" s="12">
        <v>12</v>
      </c>
      <c r="CI13" s="12">
        <v>12</v>
      </c>
      <c r="CJ13" s="46"/>
      <c r="CK13" s="46"/>
      <c r="CL13" s="46"/>
      <c r="CM13" s="46"/>
      <c r="CN13" s="46"/>
      <c r="CO13" s="43">
        <v>292.21720713416306</v>
      </c>
      <c r="CP13" s="43">
        <v>331.18133194152023</v>
      </c>
      <c r="CQ13" s="43">
        <v>359.71250695019984</v>
      </c>
      <c r="CR13" s="43">
        <v>401.11742986479504</v>
      </c>
      <c r="CS13" s="7"/>
      <c r="CT13" s="7"/>
      <c r="CU13" s="7"/>
      <c r="CV13" s="7"/>
      <c r="CW13" s="7"/>
      <c r="CX13" s="7"/>
      <c r="CY13" s="101"/>
      <c r="CZ13" s="101"/>
      <c r="DA13" s="101"/>
      <c r="DB13" s="101"/>
      <c r="DC13" s="101"/>
      <c r="DD13" s="40">
        <v>570.04736133723407</v>
      </c>
      <c r="DE13" s="40">
        <v>523.90708050363105</v>
      </c>
      <c r="DF13" s="40">
        <v>492.26483340835745</v>
      </c>
      <c r="DG13" s="40">
        <v>464.10730103726547</v>
      </c>
      <c r="DH13" s="40">
        <v>438.03843933636563</v>
      </c>
      <c r="DI13" s="40"/>
      <c r="DJ13" s="40"/>
      <c r="DK13" s="40"/>
      <c r="DL13" s="40"/>
      <c r="DM13" s="40"/>
      <c r="DN13" s="7"/>
      <c r="DO13" s="7"/>
      <c r="DP13" s="7">
        <v>2.359809498382853</v>
      </c>
      <c r="DQ13" s="7">
        <v>2.4502162955611593</v>
      </c>
      <c r="DR13" s="7">
        <v>2.5058788922801756</v>
      </c>
      <c r="DS13" s="7">
        <v>2.5294375226671173</v>
      </c>
      <c r="DT13" s="7">
        <v>2.5474036860421361</v>
      </c>
      <c r="DU13" s="78">
        <v>1.1423122461181432</v>
      </c>
      <c r="DV13" s="78">
        <v>0.45182571235885849</v>
      </c>
      <c r="DW13" s="6">
        <v>0.30251731470102072</v>
      </c>
      <c r="DX13" s="6">
        <v>0.24930082404556364</v>
      </c>
      <c r="DY13" s="171">
        <v>1.607689917051456</v>
      </c>
      <c r="DZ13" s="132">
        <v>1.8337137235711101</v>
      </c>
      <c r="EA13" s="132">
        <v>2.0031022223140318</v>
      </c>
      <c r="EB13" s="132">
        <v>2.2428793410265828</v>
      </c>
      <c r="EC13" s="78">
        <v>-0.1125587</v>
      </c>
      <c r="ED13" s="6">
        <v>-0.1064566</v>
      </c>
      <c r="EE13" s="194">
        <v>-9.4713410000000012E-2</v>
      </c>
      <c r="EF13" s="363">
        <v>5.083566239658599E-2</v>
      </c>
      <c r="EG13" s="6">
        <v>1.0636443486204739E-2</v>
      </c>
      <c r="EH13" s="363">
        <v>6.1472105882790729E-2</v>
      </c>
      <c r="EI13" s="6">
        <v>8.4824944661488405E-2</v>
      </c>
      <c r="EJ13" s="363">
        <v>0.14629705054427913</v>
      </c>
      <c r="EK13" s="6">
        <v>0.15622026415674159</v>
      </c>
      <c r="EL13" s="194">
        <v>0.30251731470102072</v>
      </c>
      <c r="EM13" s="6">
        <v>0</v>
      </c>
      <c r="EN13" s="194">
        <v>0.14538755122481839</v>
      </c>
      <c r="EO13">
        <v>4500.4994559999996</v>
      </c>
    </row>
    <row r="14" spans="2:145" x14ac:dyDescent="0.25">
      <c r="B14" s="10"/>
      <c r="C14" s="10"/>
      <c r="D14" s="38" t="s">
        <v>140</v>
      </c>
      <c r="F14" s="186">
        <v>46119</v>
      </c>
      <c r="G14" s="147"/>
      <c r="H14" s="149">
        <v>62.549999237060547</v>
      </c>
      <c r="I14" s="3">
        <v>94.113302000000004</v>
      </c>
      <c r="J14" s="25">
        <v>-429.35199999999998</v>
      </c>
      <c r="K14" s="3"/>
      <c r="L14" s="3"/>
      <c r="M14" s="76">
        <v>-429.35199999999998</v>
      </c>
      <c r="N14" s="76">
        <v>5457.4349682972488</v>
      </c>
      <c r="O14" s="3">
        <v>467.73400000000004</v>
      </c>
      <c r="P14" s="3">
        <v>614.34100000000001</v>
      </c>
      <c r="Q14" s="3">
        <v>771.87800000000004</v>
      </c>
      <c r="R14" s="3">
        <v>960.96500000000003</v>
      </c>
      <c r="S14" s="3">
        <v>1170.439939747514</v>
      </c>
      <c r="T14" s="3">
        <v>1410.8054914574941</v>
      </c>
      <c r="U14" s="3">
        <v>1660.2375838794474</v>
      </c>
      <c r="V14" s="3">
        <v>1947.3317356222967</v>
      </c>
      <c r="W14" s="3">
        <v>2257.7346876447373</v>
      </c>
      <c r="X14" s="21"/>
      <c r="Y14" s="21"/>
      <c r="Z14" s="21"/>
      <c r="AA14" s="21"/>
      <c r="AB14" s="21"/>
      <c r="AC14" s="21"/>
      <c r="AD14" s="21"/>
      <c r="AE14" s="21"/>
      <c r="AF14" s="21"/>
      <c r="AG14" s="144">
        <v>297.19200000000006</v>
      </c>
      <c r="AH14" s="144">
        <v>417.61900000000003</v>
      </c>
      <c r="AI14" s="144">
        <v>543.25900000000001</v>
      </c>
      <c r="AJ14" s="144">
        <v>711.48300000000006</v>
      </c>
      <c r="AK14" s="144">
        <v>879.37455498927886</v>
      </c>
      <c r="AL14" s="144">
        <v>1078.9008431505194</v>
      </c>
      <c r="AM14" s="144">
        <v>1288.18817168386</v>
      </c>
      <c r="AN14" s="144">
        <v>1530.7204234585897</v>
      </c>
      <c r="AO14" s="144">
        <v>1795.2715058461822</v>
      </c>
      <c r="AP14" s="11">
        <v>-5.203586289454587</v>
      </c>
      <c r="AQ14" s="11">
        <v>-2.2611508037768564</v>
      </c>
      <c r="AR14" s="11">
        <v>0.3923978218753516</v>
      </c>
      <c r="AS14" s="11">
        <v>1.1008490171527545</v>
      </c>
      <c r="AT14" s="11">
        <v>1.7962606313202718</v>
      </c>
      <c r="AU14" s="11">
        <v>2.7051748553728685</v>
      </c>
      <c r="AV14" s="11">
        <v>3.8034995064677122</v>
      </c>
      <c r="AW14" s="11">
        <v>5.1971524834482263</v>
      </c>
      <c r="AX14" s="11">
        <v>6.8610889919926468</v>
      </c>
      <c r="AY14" s="145">
        <v>-7.1522427803023527</v>
      </c>
      <c r="AZ14" s="145">
        <v>-5.5200758305072126</v>
      </c>
      <c r="BA14" s="145">
        <v>-3.0958692526077343</v>
      </c>
      <c r="BB14" s="145">
        <v>-0.94337005035610011</v>
      </c>
      <c r="BC14" s="145">
        <v>-0.49851227448575247</v>
      </c>
      <c r="BD14" s="145">
        <v>0.24276289838453169</v>
      </c>
      <c r="BE14" s="145">
        <v>1.2372220961362883</v>
      </c>
      <c r="BF14" s="145">
        <v>2.4508639132160455</v>
      </c>
      <c r="BG14" s="145">
        <v>3.8433138512021121</v>
      </c>
      <c r="BH14" s="5">
        <v>7.070333612691706</v>
      </c>
      <c r="BI14" s="5">
        <v>5.6791193938356219</v>
      </c>
      <c r="BJ14" s="5">
        <v>4.6627210700572306</v>
      </c>
      <c r="BK14" s="5">
        <v>3.8683114017788576</v>
      </c>
      <c r="BL14" s="5">
        <v>3.2871409618043694</v>
      </c>
      <c r="BM14" s="5">
        <v>2.8025194005032996</v>
      </c>
      <c r="BN14" s="5">
        <v>2.4172171328024508</v>
      </c>
      <c r="BO14" s="229">
        <v>6.2060414840679403</v>
      </c>
      <c r="BP14" s="229">
        <v>5.0583285785196779</v>
      </c>
      <c r="BQ14" s="5">
        <v>4.2365200117957471</v>
      </c>
      <c r="BR14" s="5">
        <v>3.5652721977579911</v>
      </c>
      <c r="BS14" s="5">
        <v>3.0398939383405099</v>
      </c>
      <c r="BT14" s="5">
        <v>34.822340447936888</v>
      </c>
      <c r="BU14" s="5">
        <v>23.122349785570126</v>
      </c>
      <c r="BV14" s="5">
        <v>16.445381189269661</v>
      </c>
      <c r="BW14" s="5">
        <v>12.035436604230561</v>
      </c>
      <c r="BX14" s="5">
        <v>9.1166284696293278</v>
      </c>
      <c r="BY14" s="8" t="s">
        <v>24</v>
      </c>
      <c r="BZ14" s="5">
        <v>257.65880887606875</v>
      </c>
      <c r="CA14" s="5">
        <v>50.556807409435599</v>
      </c>
      <c r="CB14" s="5">
        <v>25.5216125627236</v>
      </c>
      <c r="CC14" s="5">
        <v>16.275017253013608</v>
      </c>
      <c r="CD14" t="s">
        <v>64</v>
      </c>
      <c r="CE14" s="12">
        <v>7</v>
      </c>
      <c r="CF14" s="12">
        <v>7</v>
      </c>
      <c r="CG14" s="167">
        <v>7</v>
      </c>
      <c r="CH14" s="12">
        <v>7</v>
      </c>
      <c r="CI14" s="82">
        <v>8</v>
      </c>
      <c r="CJ14" s="46"/>
      <c r="CK14" s="46"/>
      <c r="CL14" s="46"/>
      <c r="CM14" s="46"/>
      <c r="CN14" s="46"/>
      <c r="CO14" s="43">
        <v>84.532908084312453</v>
      </c>
      <c r="CP14" s="43">
        <v>99.854469574667561</v>
      </c>
      <c r="CQ14" s="43">
        <v>118.70166090526678</v>
      </c>
      <c r="CR14" s="43">
        <v>140.8555156121632</v>
      </c>
      <c r="CS14" s="7"/>
      <c r="CT14" s="7"/>
      <c r="CU14" s="7"/>
      <c r="CV14" s="7"/>
      <c r="CW14" s="7"/>
      <c r="CX14" s="7"/>
      <c r="CY14" s="41">
        <v>7552.3059020536366</v>
      </c>
      <c r="CZ14" s="41">
        <v>9017.3172017870202</v>
      </c>
      <c r="DA14" s="41">
        <v>10715.042964210128</v>
      </c>
      <c r="DB14" s="41">
        <v>12566.900540923276</v>
      </c>
      <c r="DC14" s="19"/>
      <c r="DD14" s="40">
        <v>94.420718308812866</v>
      </c>
      <c r="DE14" s="40">
        <v>94.60437016014734</v>
      </c>
      <c r="DF14" s="40">
        <v>93.885754244873027</v>
      </c>
      <c r="DG14" s="40">
        <v>92.266550475081431</v>
      </c>
      <c r="DH14" s="40">
        <v>89.868676795287769</v>
      </c>
      <c r="DI14" s="40">
        <v>-429.35199999999998</v>
      </c>
      <c r="DJ14" s="40">
        <v>-429.35199999999998</v>
      </c>
      <c r="DK14" s="40">
        <v>-429.35199999999998</v>
      </c>
      <c r="DL14" s="40">
        <v>-429.35199999999998</v>
      </c>
      <c r="DM14" s="40">
        <v>-429.35199999999998</v>
      </c>
      <c r="DN14" s="7"/>
      <c r="DO14" s="7"/>
      <c r="DP14" s="7"/>
      <c r="DQ14" s="7"/>
      <c r="DR14" s="7"/>
      <c r="DS14" s="7"/>
      <c r="DT14" s="7"/>
      <c r="DU14" s="78">
        <v>0.6264674139690305</v>
      </c>
      <c r="DV14" s="78">
        <v>0.33493105938316403</v>
      </c>
      <c r="DW14" s="6">
        <v>0.2771084702900124</v>
      </c>
      <c r="DX14" s="6">
        <v>0.25144182735835807</v>
      </c>
      <c r="DY14" s="171">
        <v>1.3514453895345078</v>
      </c>
      <c r="DZ14" s="132">
        <v>1.596394417148199</v>
      </c>
      <c r="EA14" s="132">
        <v>1.8977084309049306</v>
      </c>
      <c r="EB14" s="132">
        <v>2.2518867678691681</v>
      </c>
      <c r="EC14" s="78">
        <v>-2.73674E-2</v>
      </c>
      <c r="ED14" s="6">
        <v>-6.613919E-2</v>
      </c>
      <c r="EE14" s="194">
        <v>-0.27486670000000002</v>
      </c>
      <c r="EF14" s="363">
        <v>0.18012130225604861</v>
      </c>
      <c r="EG14" s="175"/>
      <c r="EH14" s="363"/>
      <c r="EI14" s="6">
        <v>9.052956325210193E-3</v>
      </c>
      <c r="EJ14" s="363">
        <v>0.1891742585812588</v>
      </c>
      <c r="EK14" s="6">
        <v>8.7934211708753596E-2</v>
      </c>
      <c r="EL14" s="194">
        <v>0.2771084702900124</v>
      </c>
      <c r="EM14" s="6">
        <v>0.20293084383451099</v>
      </c>
      <c r="EN14" s="194" t="s">
        <v>24</v>
      </c>
      <c r="EO14">
        <v>6249.1100159999996</v>
      </c>
    </row>
    <row r="15" spans="2:145" x14ac:dyDescent="0.25">
      <c r="B15" s="10"/>
      <c r="C15" s="10"/>
      <c r="D15" s="142" t="s">
        <v>21</v>
      </c>
      <c r="E15" s="290">
        <v>1</v>
      </c>
      <c r="F15" s="186">
        <v>46119</v>
      </c>
      <c r="G15" s="147"/>
      <c r="H15" s="241">
        <v>47.790000915527344</v>
      </c>
      <c r="I15" s="3">
        <v>161.46555950000001</v>
      </c>
      <c r="J15" s="25">
        <v>-811</v>
      </c>
      <c r="K15" s="3">
        <v>28</v>
      </c>
      <c r="L15" s="3"/>
      <c r="M15" s="76">
        <v>-783</v>
      </c>
      <c r="N15" s="76">
        <v>6933.4392363311354</v>
      </c>
      <c r="O15" s="3">
        <v>720.20299999999997</v>
      </c>
      <c r="P15" s="3">
        <v>950.01</v>
      </c>
      <c r="Q15" s="226">
        <v>1151.7080000000001</v>
      </c>
      <c r="R15" s="226">
        <v>1322.509</v>
      </c>
      <c r="S15" s="226">
        <v>1507.6602600000001</v>
      </c>
      <c r="T15" s="226">
        <v>1703.6560938</v>
      </c>
      <c r="U15" s="226">
        <v>1908.0948250560002</v>
      </c>
      <c r="V15" s="226">
        <v>2127.5257299374402</v>
      </c>
      <c r="W15" s="226">
        <v>2361.553560230559</v>
      </c>
      <c r="X15" s="21">
        <v>0.83556441725457953</v>
      </c>
      <c r="Y15" s="21">
        <v>0.85259628846012148</v>
      </c>
      <c r="Z15" s="21">
        <v>0.85752899172359653</v>
      </c>
      <c r="AA15" s="21">
        <v>0.83613041574764324</v>
      </c>
      <c r="AB15" s="21">
        <v>0.84928708276435949</v>
      </c>
      <c r="AC15" s="21">
        <v>0.85529973467773546</v>
      </c>
      <c r="AD15" s="21">
        <v>0.85933918869169734</v>
      </c>
      <c r="AE15" s="21">
        <v>0.86341685441544369</v>
      </c>
      <c r="AF15" s="21">
        <v>0.86753327502644018</v>
      </c>
      <c r="AG15" s="144">
        <v>601.77599999999995</v>
      </c>
      <c r="AH15" s="144">
        <v>809.97500000000002</v>
      </c>
      <c r="AI15" s="3">
        <v>987.62300000000005</v>
      </c>
      <c r="AJ15" s="3">
        <v>1105.79</v>
      </c>
      <c r="AK15" s="3">
        <v>1280.4363840151559</v>
      </c>
      <c r="AL15" s="3">
        <v>1457.1366050092472</v>
      </c>
      <c r="AM15" s="3">
        <v>1639.7006589104494</v>
      </c>
      <c r="AN15" s="3">
        <v>1836.9415734305055</v>
      </c>
      <c r="AO15" s="3">
        <v>2048.7262942571665</v>
      </c>
      <c r="AP15" s="11"/>
      <c r="AQ15" s="11">
        <v>0.28600909737087093</v>
      </c>
      <c r="AR15" s="11">
        <v>0.88947487666043556</v>
      </c>
      <c r="AS15" s="242">
        <v>1.3067373292536053</v>
      </c>
      <c r="AT15" s="242">
        <v>1.5666595317545828</v>
      </c>
      <c r="AU15" s="242">
        <v>2.2311580057968907</v>
      </c>
      <c r="AV15" s="242">
        <v>2.9986834405629059</v>
      </c>
      <c r="AW15" s="242">
        <v>3.9350529929697005</v>
      </c>
      <c r="AX15" s="242">
        <v>5.2472298556292394</v>
      </c>
      <c r="AY15" s="11"/>
      <c r="AZ15" s="11"/>
      <c r="BA15" s="11">
        <v>-0.32076478871927772</v>
      </c>
      <c r="BB15" s="242">
        <v>-0.2023966467444398</v>
      </c>
      <c r="BC15" s="242">
        <v>0.34626651271075187</v>
      </c>
      <c r="BD15" s="242">
        <v>0.90715356732215002</v>
      </c>
      <c r="BE15" s="242">
        <v>1.5690341895068045</v>
      </c>
      <c r="BF15" s="242">
        <v>2.3974071894123115</v>
      </c>
      <c r="BG15" s="242">
        <v>3.5235656792081773</v>
      </c>
      <c r="BH15" s="5">
        <v>6.0201363855518366</v>
      </c>
      <c r="BI15" s="5">
        <v>5.2426404934341733</v>
      </c>
      <c r="BJ15" s="5">
        <v>4.5988074503808534</v>
      </c>
      <c r="BK15" s="5">
        <v>4.0697411065317288</v>
      </c>
      <c r="BL15" s="5">
        <v>3.6336974165461862</v>
      </c>
      <c r="BM15" s="5">
        <v>3.2589214498172074</v>
      </c>
      <c r="BN15" s="5">
        <v>2.9359652701055921</v>
      </c>
      <c r="BO15" s="5">
        <v>5.4149033274026896</v>
      </c>
      <c r="BP15" s="5">
        <v>4.7582630293521007</v>
      </c>
      <c r="BQ15" s="5">
        <v>4.228478654718768</v>
      </c>
      <c r="BR15" s="5">
        <v>3.7744473404142478</v>
      </c>
      <c r="BS15" s="5">
        <v>3.3842681942270296</v>
      </c>
      <c r="BT15" s="5"/>
      <c r="BU15" s="5"/>
      <c r="BV15" s="5"/>
      <c r="BW15" s="5"/>
      <c r="BX15" s="5"/>
      <c r="BY15" s="8" t="s">
        <v>24</v>
      </c>
      <c r="BZ15" s="5">
        <v>52.681268791787787</v>
      </c>
      <c r="CA15" s="5">
        <v>30.45822789275816</v>
      </c>
      <c r="CB15" s="5">
        <v>19.934035872830744</v>
      </c>
      <c r="CC15" s="5">
        <v>13.562965832459467</v>
      </c>
      <c r="CD15" t="s">
        <v>64</v>
      </c>
      <c r="CE15" s="12">
        <v>7</v>
      </c>
      <c r="CF15" s="12">
        <v>7</v>
      </c>
      <c r="CG15" s="167">
        <v>7</v>
      </c>
      <c r="CH15" s="12">
        <v>7</v>
      </c>
      <c r="CI15" s="82">
        <v>7</v>
      </c>
      <c r="CJ15" s="46">
        <v>92.895312267610592</v>
      </c>
      <c r="CK15" s="46">
        <v>105.12150924735663</v>
      </c>
      <c r="CL15" s="46">
        <v>118.9866492934998</v>
      </c>
      <c r="CM15" s="46">
        <v>135.20340128122743</v>
      </c>
      <c r="CN15" s="46">
        <v>152.60937886512519</v>
      </c>
      <c r="CO15" s="182">
        <v>68.427825540799077</v>
      </c>
      <c r="CP15" s="182">
        <v>78.045916243460454</v>
      </c>
      <c r="CQ15" s="182">
        <v>89.154683063401521</v>
      </c>
      <c r="CR15" s="182">
        <v>101.91875829577174</v>
      </c>
      <c r="CS15" s="7"/>
      <c r="CT15" s="7"/>
      <c r="CU15" s="7"/>
      <c r="CV15" s="7"/>
      <c r="CW15" s="7"/>
      <c r="CX15" s="7"/>
      <c r="CY15" s="41">
        <v>10199.95623506473</v>
      </c>
      <c r="CZ15" s="41">
        <v>11477.904612373146</v>
      </c>
      <c r="DA15" s="41">
        <v>12858.591014013538</v>
      </c>
      <c r="DB15" s="41">
        <v>14341.084059800165</v>
      </c>
      <c r="DC15" s="19"/>
      <c r="DD15" s="40">
        <v>160.49985730609669</v>
      </c>
      <c r="DE15" s="40">
        <v>157.09476168012154</v>
      </c>
      <c r="DF15" s="40">
        <v>153.00700473930979</v>
      </c>
      <c r="DG15" s="40">
        <v>148.39058395816033</v>
      </c>
      <c r="DH15" s="40">
        <v>143.41422464374998</v>
      </c>
      <c r="DI15" s="40">
        <v>-782.7</v>
      </c>
      <c r="DJ15" s="40">
        <v>-782.7</v>
      </c>
      <c r="DK15" s="40">
        <v>-782.7</v>
      </c>
      <c r="DL15" s="40">
        <v>-782.7</v>
      </c>
      <c r="DM15" s="40">
        <v>-782.7</v>
      </c>
      <c r="DN15" s="7"/>
      <c r="DO15" s="7"/>
      <c r="DP15" s="183"/>
      <c r="DQ15" s="183"/>
      <c r="DR15" s="183"/>
      <c r="DS15" s="183"/>
      <c r="DT15" s="183"/>
      <c r="DU15" s="78">
        <v>0.78557647123150143</v>
      </c>
      <c r="DV15" s="78">
        <v>0.353805709867691</v>
      </c>
      <c r="DW15" s="6">
        <v>0.26880222750707072</v>
      </c>
      <c r="DX15" s="6">
        <v>0.23276900860325611</v>
      </c>
      <c r="DY15" s="171">
        <v>1.4318439889078627</v>
      </c>
      <c r="DZ15" s="132">
        <v>1.6331013757755073</v>
      </c>
      <c r="EA15" s="132">
        <v>1.8655509804444148</v>
      </c>
      <c r="EB15" s="132">
        <v>2.1326377138163548</v>
      </c>
      <c r="EC15" s="78">
        <v>-0.137987</v>
      </c>
      <c r="ED15" s="6">
        <v>-8.1314890000000001E-2</v>
      </c>
      <c r="EE15" s="194">
        <v>-0.33384439999999999</v>
      </c>
      <c r="EF15" s="363">
        <v>0.11968032972613352</v>
      </c>
      <c r="EG15" s="175"/>
      <c r="EH15" s="363"/>
      <c r="EI15" s="6">
        <v>2.6495744903736518E-2</v>
      </c>
      <c r="EJ15" s="363">
        <v>0.14617607462987003</v>
      </c>
      <c r="EK15" s="6">
        <v>0.12262615287720069</v>
      </c>
      <c r="EL15" s="194">
        <v>0.26880222750707072</v>
      </c>
      <c r="EM15" s="6">
        <v>0.12783554817174836</v>
      </c>
      <c r="EN15" s="194" t="s">
        <v>24</v>
      </c>
      <c r="EO15">
        <v>32568.645632</v>
      </c>
    </row>
    <row r="16" spans="2:145" x14ac:dyDescent="0.25">
      <c r="B16" s="10"/>
      <c r="C16" s="10"/>
      <c r="D16" s="142" t="s">
        <v>233</v>
      </c>
      <c r="E16" s="290"/>
      <c r="F16" s="143">
        <v>46139</v>
      </c>
      <c r="G16" s="147"/>
      <c r="H16" s="149">
        <v>605.70001220703125</v>
      </c>
      <c r="I16" s="3">
        <v>2573.7760749255003</v>
      </c>
      <c r="J16" s="25">
        <v>-84819</v>
      </c>
      <c r="K16" s="3">
        <v>85081</v>
      </c>
      <c r="L16" s="3"/>
      <c r="M16" s="76">
        <v>262</v>
      </c>
      <c r="N16" s="76">
        <v>1559198.2000005406</v>
      </c>
      <c r="O16" s="3">
        <v>116608</v>
      </c>
      <c r="P16" s="3">
        <v>134902</v>
      </c>
      <c r="Q16" s="3">
        <v>164500</v>
      </c>
      <c r="R16" s="3">
        <v>200965</v>
      </c>
      <c r="S16" s="3">
        <v>252369.84377042708</v>
      </c>
      <c r="T16" s="3">
        <v>301648.92861704779</v>
      </c>
      <c r="U16" s="3">
        <v>347539.2667893318</v>
      </c>
      <c r="V16" s="3">
        <v>394733.55868165876</v>
      </c>
      <c r="W16" s="3">
        <v>453608.3665355402</v>
      </c>
      <c r="X16" s="21"/>
      <c r="Y16" s="21"/>
      <c r="Z16" s="21"/>
      <c r="AA16" s="21"/>
      <c r="AB16" s="21"/>
      <c r="AC16" s="21"/>
      <c r="AD16" s="21"/>
      <c r="AE16" s="21"/>
      <c r="AF16" s="21"/>
      <c r="AG16" s="144">
        <v>0</v>
      </c>
      <c r="AH16" s="144">
        <v>0</v>
      </c>
      <c r="AI16" s="144">
        <v>0</v>
      </c>
      <c r="AJ16" s="144">
        <v>0</v>
      </c>
      <c r="AK16" s="144">
        <v>0</v>
      </c>
      <c r="AL16" s="144">
        <v>0</v>
      </c>
      <c r="AM16" s="144">
        <v>0</v>
      </c>
      <c r="AN16" s="144">
        <v>0</v>
      </c>
      <c r="AO16" s="144">
        <v>0</v>
      </c>
      <c r="AP16" s="11">
        <v>10.44078460399704</v>
      </c>
      <c r="AQ16" s="11">
        <v>16.379134994117344</v>
      </c>
      <c r="AR16" s="11">
        <v>24.207033675432967</v>
      </c>
      <c r="AS16" s="11">
        <v>29.015803172450298</v>
      </c>
      <c r="AT16" s="11">
        <v>30.163708783659182</v>
      </c>
      <c r="AU16" s="11">
        <v>38.029610233240099</v>
      </c>
      <c r="AV16" s="11">
        <v>46.790913001974651</v>
      </c>
      <c r="AW16" s="11">
        <v>58.401462971122228</v>
      </c>
      <c r="AX16" s="11">
        <v>75.389147758855344</v>
      </c>
      <c r="AY16" s="75">
        <v>10.44078460399704</v>
      </c>
      <c r="AZ16" s="75">
        <v>16.379134994117344</v>
      </c>
      <c r="BA16" s="75">
        <v>24.207033675432967</v>
      </c>
      <c r="BB16" s="75">
        <v>29.015803172450298</v>
      </c>
      <c r="BC16" s="75">
        <v>30.163708783659182</v>
      </c>
      <c r="BD16" s="75">
        <v>38.029610233240099</v>
      </c>
      <c r="BE16" s="75">
        <v>46.790913001974651</v>
      </c>
      <c r="BF16" s="75">
        <v>58.401462971122228</v>
      </c>
      <c r="BG16" s="75">
        <v>75.389147758855344</v>
      </c>
      <c r="BH16" s="5">
        <v>9.4784085106415841</v>
      </c>
      <c r="BI16" s="5">
        <v>7.75855596745971</v>
      </c>
      <c r="BJ16" s="5">
        <v>6.1782270682819549</v>
      </c>
      <c r="BK16" s="5">
        <v>5.1689167508364955</v>
      </c>
      <c r="BL16" s="5">
        <v>4.4863943415800582</v>
      </c>
      <c r="BM16" s="5">
        <v>3.9500016294737916</v>
      </c>
      <c r="BN16" s="5">
        <v>3.4373224019411412</v>
      </c>
      <c r="BO16" s="5" t="s">
        <v>24</v>
      </c>
      <c r="BP16" s="5" t="s">
        <v>24</v>
      </c>
      <c r="BQ16" s="5" t="e">
        <v>#DIV/0!</v>
      </c>
      <c r="BR16" s="5" t="e">
        <v>#DIV/0!</v>
      </c>
      <c r="BS16" s="5" t="e">
        <v>#DIV/0!</v>
      </c>
      <c r="BT16" s="5">
        <v>20.080422356257522</v>
      </c>
      <c r="BU16" s="5">
        <v>15.92706337225655</v>
      </c>
      <c r="BV16" s="5">
        <v>12.944821405418393</v>
      </c>
      <c r="BW16" s="5">
        <v>10.371315740952101</v>
      </c>
      <c r="BX16" s="5">
        <v>8.0343130306295922</v>
      </c>
      <c r="BY16" s="8">
        <v>20.080422356257522</v>
      </c>
      <c r="BZ16" s="5">
        <v>15.92706337225655</v>
      </c>
      <c r="CA16" s="5">
        <v>12.944821405418393</v>
      </c>
      <c r="CB16" s="5">
        <v>10.371315740952101</v>
      </c>
      <c r="CC16" s="5">
        <v>8.0343130306295922</v>
      </c>
      <c r="CE16" s="12">
        <v>19</v>
      </c>
      <c r="CF16" s="12">
        <v>19</v>
      </c>
      <c r="CG16" s="167">
        <v>19</v>
      </c>
      <c r="CH16" s="82">
        <v>19</v>
      </c>
      <c r="CI16" s="82">
        <v>20</v>
      </c>
      <c r="CJ16" s="46"/>
      <c r="CK16" s="46"/>
      <c r="CL16" s="46"/>
      <c r="CM16" s="46"/>
      <c r="CN16" s="46"/>
      <c r="CO16" s="43">
        <v>722.56259443156193</v>
      </c>
      <c r="CP16" s="43">
        <v>889.02734703751833</v>
      </c>
      <c r="CQ16" s="43">
        <v>1109.6277964513224</v>
      </c>
      <c r="CR16" s="43">
        <v>1432.3938074182515</v>
      </c>
      <c r="CS16" s="7"/>
      <c r="CT16" s="7"/>
      <c r="CU16" s="7"/>
      <c r="CV16" s="7"/>
      <c r="CW16" s="7"/>
      <c r="CX16" s="7"/>
      <c r="CY16" s="41"/>
      <c r="CZ16" s="41"/>
      <c r="DA16" s="41"/>
      <c r="DB16" s="41"/>
      <c r="DC16" s="19"/>
      <c r="DD16" s="185">
        <v>2573.7760749255003</v>
      </c>
      <c r="DE16" s="185">
        <v>2565.3705441783013</v>
      </c>
      <c r="DF16" s="185">
        <v>2524.5023676132205</v>
      </c>
      <c r="DG16" s="185">
        <v>2456.3036059646715</v>
      </c>
      <c r="DH16" s="185">
        <v>2359.3103233469292</v>
      </c>
      <c r="DI16" s="40"/>
      <c r="DJ16" s="40"/>
      <c r="DK16" s="40"/>
      <c r="DL16" s="40"/>
      <c r="DM16" s="40"/>
      <c r="DN16" s="7"/>
      <c r="DO16" s="7"/>
      <c r="DP16" s="7">
        <v>2.2050000000000001</v>
      </c>
      <c r="DQ16" s="7">
        <v>2.3152500000000003</v>
      </c>
      <c r="DR16" s="7">
        <v>2.4310125000000005</v>
      </c>
      <c r="DS16" s="7">
        <v>2.5525631250000007</v>
      </c>
      <c r="DT16" s="7">
        <v>2.6801912812500008</v>
      </c>
      <c r="DU16" s="78">
        <v>0.33372209675272946</v>
      </c>
      <c r="DV16" s="78">
        <v>0.2706775832630115</v>
      </c>
      <c r="DW16" s="6">
        <v>0.26267996776231617</v>
      </c>
      <c r="DX16" s="6">
        <v>0.27059781781649983</v>
      </c>
      <c r="DY16" s="171">
        <v>1.1965784709012568</v>
      </c>
      <c r="DZ16" s="132">
        <v>1.4752312680028465</v>
      </c>
      <c r="EA16" s="132">
        <v>1.8434522642368218</v>
      </c>
      <c r="EB16" s="132">
        <v>2.3805474723193565</v>
      </c>
      <c r="EC16" s="78">
        <v>-0.1203253</v>
      </c>
      <c r="ED16" s="6">
        <v>-6.0609859999999995E-2</v>
      </c>
      <c r="EE16" s="194">
        <v>2.6053649999999998E-2</v>
      </c>
      <c r="EF16" s="363">
        <v>0.15419088017059757</v>
      </c>
      <c r="EG16" s="175">
        <v>6.5765025166750757E-2</v>
      </c>
      <c r="EH16" s="363">
        <v>0.21995590533734832</v>
      </c>
      <c r="EI16" s="6">
        <v>2.519610194365085E-2</v>
      </c>
      <c r="EJ16" s="363">
        <v>0.24515200728099917</v>
      </c>
      <c r="EK16" s="6">
        <v>1.7527960481316995E-2</v>
      </c>
      <c r="EL16" s="194">
        <v>0.26267996776231617</v>
      </c>
      <c r="EM16" s="6">
        <v>0</v>
      </c>
      <c r="EN16" s="194">
        <v>0.24636811173454487</v>
      </c>
      <c r="EO16">
        <v>90750.21</v>
      </c>
    </row>
    <row r="17" spans="1:145" x14ac:dyDescent="0.25">
      <c r="B17" s="10"/>
      <c r="C17" s="10"/>
      <c r="D17" s="38" t="s">
        <v>161</v>
      </c>
      <c r="F17" s="151">
        <v>46139</v>
      </c>
      <c r="G17" s="63"/>
      <c r="H17" s="152">
        <v>127.08499908447266</v>
      </c>
      <c r="I17" s="64">
        <v>28.074000000000002</v>
      </c>
      <c r="J17" s="64">
        <v>-222.566</v>
      </c>
      <c r="K17" s="86">
        <v>1209.0940000000001</v>
      </c>
      <c r="L17" s="63"/>
      <c r="M17" s="72">
        <v>986.52800000000002</v>
      </c>
      <c r="N17" s="153">
        <v>4554.3122642974859</v>
      </c>
      <c r="O17" s="154">
        <v>357.52100000000002</v>
      </c>
      <c r="P17" s="154">
        <v>460.05500000000006</v>
      </c>
      <c r="Q17" s="154">
        <v>625.80700000000002</v>
      </c>
      <c r="R17" s="154">
        <v>696.85299999999995</v>
      </c>
      <c r="S17" s="154">
        <v>778.76669208069336</v>
      </c>
      <c r="T17" s="154">
        <v>919.23366151583843</v>
      </c>
      <c r="U17" s="154">
        <v>1078.8701356962054</v>
      </c>
      <c r="V17" s="154">
        <v>1258.6672035847216</v>
      </c>
      <c r="W17" s="154">
        <v>1459.653561009432</v>
      </c>
      <c r="X17" s="65"/>
      <c r="Y17" s="65"/>
      <c r="Z17" s="65"/>
      <c r="AA17" s="65"/>
      <c r="AB17" s="65"/>
      <c r="AC17" s="65"/>
      <c r="AD17" s="65"/>
      <c r="AE17" s="65"/>
      <c r="AF17" s="6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6">
        <v>1.8477140585455221</v>
      </c>
      <c r="AQ17" s="156">
        <v>2.4811677698590002</v>
      </c>
      <c r="AR17" s="156">
        <v>3.7247811463065239</v>
      </c>
      <c r="AS17" s="156">
        <v>4.1483008103322749</v>
      </c>
      <c r="AT17" s="156">
        <v>4.6123604320837819</v>
      </c>
      <c r="AU17" s="156">
        <v>5.9750369566690855</v>
      </c>
      <c r="AV17" s="156">
        <v>7.6104082910456876</v>
      </c>
      <c r="AW17" s="156">
        <v>9.5565600082998365</v>
      </c>
      <c r="AX17" s="156">
        <v>11.856499301466721</v>
      </c>
      <c r="AY17" s="157">
        <v>1.8477140585455221</v>
      </c>
      <c r="AZ17" s="157">
        <v>2.4811677698590002</v>
      </c>
      <c r="BA17" s="157">
        <v>3.7247811463065239</v>
      </c>
      <c r="BB17" s="157">
        <v>4.1483008103322749</v>
      </c>
      <c r="BC17" s="157">
        <v>4.6123604320837819</v>
      </c>
      <c r="BD17" s="157">
        <v>5.9750369566690855</v>
      </c>
      <c r="BE17" s="157">
        <v>7.6104082910456876</v>
      </c>
      <c r="BF17" s="157">
        <v>9.5565600082998365</v>
      </c>
      <c r="BG17" s="157">
        <v>11.856499301466721</v>
      </c>
      <c r="BH17" s="158">
        <v>7.2775029111171428</v>
      </c>
      <c r="BI17" s="158">
        <v>6.5355423084890019</v>
      </c>
      <c r="BJ17" s="158">
        <v>5.8481086962378486</v>
      </c>
      <c r="BK17" s="158">
        <v>4.9544663723337932</v>
      </c>
      <c r="BL17" s="158">
        <v>4.2213720758509492</v>
      </c>
      <c r="BM17" s="158">
        <v>3.6183609546087077</v>
      </c>
      <c r="BN17" s="158">
        <v>3.1201323286245568</v>
      </c>
      <c r="BO17" s="158" t="s">
        <v>24</v>
      </c>
      <c r="BP17" s="158" t="s">
        <v>24</v>
      </c>
      <c r="BQ17" s="158" t="e">
        <v>#DIV/0!</v>
      </c>
      <c r="BR17" s="158" t="e">
        <v>#DIV/0!</v>
      </c>
      <c r="BS17" s="158" t="e">
        <v>#DIV/0!</v>
      </c>
      <c r="BT17" s="158">
        <v>27.553137044638536</v>
      </c>
      <c r="BU17" s="158">
        <v>21.269324358341535</v>
      </c>
      <c r="BV17" s="158">
        <v>16.698841142859482</v>
      </c>
      <c r="BW17" s="158">
        <v>13.298195059111208</v>
      </c>
      <c r="BX17" s="158">
        <v>10.718593731013966</v>
      </c>
      <c r="BY17" s="66">
        <v>27.553137044638536</v>
      </c>
      <c r="BZ17" s="158">
        <v>21.269324358341535</v>
      </c>
      <c r="CA17" s="158">
        <v>16.698841142859482</v>
      </c>
      <c r="CB17" s="158">
        <v>13.298195059111208</v>
      </c>
      <c r="CC17" s="158">
        <v>10.718593731013966</v>
      </c>
      <c r="CD17" s="63"/>
      <c r="CE17" s="67">
        <v>24</v>
      </c>
      <c r="CF17" s="67">
        <v>24</v>
      </c>
      <c r="CG17" s="169">
        <v>24</v>
      </c>
      <c r="CH17" s="67">
        <v>24</v>
      </c>
      <c r="CI17" s="67">
        <v>24</v>
      </c>
      <c r="CJ17" s="68"/>
      <c r="CK17" s="68"/>
      <c r="CL17" s="68"/>
      <c r="CM17" s="68"/>
      <c r="CN17" s="68"/>
      <c r="CO17" s="73">
        <v>143.40088696005805</v>
      </c>
      <c r="CP17" s="73">
        <v>182.64979898509651</v>
      </c>
      <c r="CQ17" s="73">
        <v>229.35744019919608</v>
      </c>
      <c r="CR17" s="73">
        <v>284.55598323520132</v>
      </c>
      <c r="CS17" s="69"/>
      <c r="CT17" s="69"/>
      <c r="CU17" s="69"/>
      <c r="CV17" s="69"/>
      <c r="CW17" s="69"/>
      <c r="CX17" s="69"/>
      <c r="CY17" s="74"/>
      <c r="CZ17" s="74"/>
      <c r="DA17" s="74"/>
      <c r="DB17" s="74"/>
      <c r="DC17" s="74"/>
      <c r="DD17" s="70">
        <v>27.75106533682029</v>
      </c>
      <c r="DE17" s="70">
        <v>27.356286528818128</v>
      </c>
      <c r="DF17" s="70">
        <v>26.895951367608468</v>
      </c>
      <c r="DG17" s="70">
        <v>26.377227054251701</v>
      </c>
      <c r="DH17" s="70">
        <v>25.807803403713155</v>
      </c>
      <c r="DI17" s="70"/>
      <c r="DJ17" s="70"/>
      <c r="DK17" s="70"/>
      <c r="DL17" s="70"/>
      <c r="DM17" s="70"/>
      <c r="DN17" s="69"/>
      <c r="DO17" s="69"/>
      <c r="DP17" s="69">
        <v>1.3109999999999999</v>
      </c>
      <c r="DQ17" s="69">
        <v>1.5076499999999997</v>
      </c>
      <c r="DR17" s="69">
        <v>1.7337974999999994</v>
      </c>
      <c r="DS17" s="69">
        <v>1.9938671249999993</v>
      </c>
      <c r="DT17" s="69">
        <v>2.292947193749999</v>
      </c>
      <c r="DU17" s="77">
        <v>0.22653648978399921</v>
      </c>
      <c r="DV17" s="77">
        <v>0.26087348906053243</v>
      </c>
      <c r="DW17" s="71">
        <v>0.26126120073295933</v>
      </c>
      <c r="DX17" s="71">
        <v>0.2567551508266559</v>
      </c>
      <c r="DY17" s="166">
        <v>1.1387015619669549</v>
      </c>
      <c r="DZ17">
        <v>1.4594047316459178</v>
      </c>
      <c r="EA17">
        <v>1.8405782695384652</v>
      </c>
      <c r="EB17">
        <v>2.2906110080443667</v>
      </c>
      <c r="EC17" s="77">
        <v>-0.35272989999999999</v>
      </c>
      <c r="ED17" s="71">
        <v>-0.51119270000000006</v>
      </c>
      <c r="EE17" s="195">
        <v>-0.45179450000000004</v>
      </c>
      <c r="EF17" s="363">
        <v>0.17109202622435671</v>
      </c>
      <c r="EG17" s="71">
        <v>7.555817996775005E-2</v>
      </c>
      <c r="EH17" s="363">
        <v>0.24665020619210676</v>
      </c>
      <c r="EI17" s="71">
        <v>3.4088043681678504E-2</v>
      </c>
      <c r="EJ17" s="363">
        <v>0.28073824987378526</v>
      </c>
      <c r="EK17" s="71">
        <v>-1.9477049140825931E-2</v>
      </c>
      <c r="EL17" s="195">
        <v>0.26126120073295933</v>
      </c>
      <c r="EM17" s="71">
        <v>0</v>
      </c>
      <c r="EN17" s="195">
        <v>0.27485106508096546</v>
      </c>
    </row>
    <row r="18" spans="1:145" x14ac:dyDescent="0.25">
      <c r="B18" s="10" t="s">
        <v>87</v>
      </c>
      <c r="C18" s="10"/>
      <c r="D18" s="38" t="s">
        <v>95</v>
      </c>
      <c r="E18" s="307">
        <v>1</v>
      </c>
      <c r="F18" s="186">
        <v>46119</v>
      </c>
      <c r="G18" s="147"/>
      <c r="H18" s="225">
        <v>424.66500854492188</v>
      </c>
      <c r="I18" s="25">
        <v>7460</v>
      </c>
      <c r="J18" s="25">
        <v>-89462</v>
      </c>
      <c r="K18" s="2">
        <v>63127</v>
      </c>
      <c r="L18" s="2"/>
      <c r="M18" s="80">
        <v>-26335</v>
      </c>
      <c r="N18" s="184">
        <v>3141665.9637451172</v>
      </c>
      <c r="O18" s="3">
        <v>204094</v>
      </c>
      <c r="P18" s="3">
        <v>227582</v>
      </c>
      <c r="Q18" s="3">
        <v>261803</v>
      </c>
      <c r="R18" s="3">
        <v>305440</v>
      </c>
      <c r="S18" s="3">
        <v>356800.78109230485</v>
      </c>
      <c r="T18" s="3">
        <v>418430.46359661606</v>
      </c>
      <c r="U18" s="3">
        <v>491728.15016945539</v>
      </c>
      <c r="V18" s="3">
        <v>575920.69279290503</v>
      </c>
      <c r="W18" s="3">
        <v>670017.48518140521</v>
      </c>
      <c r="X18" s="4">
        <v>0.68159769517967206</v>
      </c>
      <c r="Y18" s="4">
        <v>0.69748486259897535</v>
      </c>
      <c r="Z18" s="4">
        <v>0.69409059483657565</v>
      </c>
      <c r="AA18" s="4">
        <v>0.68589248297537975</v>
      </c>
      <c r="AB18" s="4">
        <v>0.6833924829753798</v>
      </c>
      <c r="AC18" s="4">
        <v>0.68089248297537985</v>
      </c>
      <c r="AD18" s="4">
        <v>0.67839248297537991</v>
      </c>
      <c r="AE18" s="4">
        <v>0.67589248297537996</v>
      </c>
      <c r="AF18" s="4">
        <v>0.67339248297538001</v>
      </c>
      <c r="AG18" s="236">
        <v>139110</v>
      </c>
      <c r="AH18" s="236">
        <v>158735</v>
      </c>
      <c r="AI18" s="236">
        <v>181715</v>
      </c>
      <c r="AJ18" s="236">
        <v>209499</v>
      </c>
      <c r="AK18" s="236">
        <v>243834.97171822516</v>
      </c>
      <c r="AL18" s="236">
        <v>284906.15731083922</v>
      </c>
      <c r="AM18" s="236">
        <v>333584.68074234732</v>
      </c>
      <c r="AN18" s="236">
        <v>389260.46704869758</v>
      </c>
      <c r="AO18" s="236">
        <v>451184.73798322631</v>
      </c>
      <c r="AP18" s="148">
        <v>9.1199413294219607</v>
      </c>
      <c r="AQ18" s="148">
        <v>11.056696024915441</v>
      </c>
      <c r="AR18" s="148">
        <v>12.415500970483903</v>
      </c>
      <c r="AS18" s="148">
        <v>15.949195056247017</v>
      </c>
      <c r="AT18" s="148">
        <v>18.277835794394107</v>
      </c>
      <c r="AU18" s="148">
        <v>21.138180284761525</v>
      </c>
      <c r="AV18" s="148">
        <v>24.860953541246186</v>
      </c>
      <c r="AW18" s="11">
        <v>30.196773819737377</v>
      </c>
      <c r="AX18" s="11">
        <v>36.555022724601947</v>
      </c>
      <c r="AY18" s="148">
        <v>9.1199413294219607</v>
      </c>
      <c r="AZ18" s="148">
        <v>11.056696024915441</v>
      </c>
      <c r="BA18" s="148">
        <v>12.415500970483903</v>
      </c>
      <c r="BB18" s="148">
        <v>15.949195056247017</v>
      </c>
      <c r="BC18" s="148">
        <v>18.277835794394107</v>
      </c>
      <c r="BD18" s="148">
        <v>21.138180284761525</v>
      </c>
      <c r="BE18" s="148">
        <v>24.860953541246186</v>
      </c>
      <c r="BF18" s="11">
        <v>30.196773819737377</v>
      </c>
      <c r="BG18" s="11">
        <v>36.555022724601947</v>
      </c>
      <c r="BH18" s="5">
        <v>12.000114451496421</v>
      </c>
      <c r="BI18" s="5">
        <v>10.285705748248812</v>
      </c>
      <c r="BJ18" s="5">
        <v>8.8050983356237769</v>
      </c>
      <c r="BK18" s="5">
        <v>7.5082151924144096</v>
      </c>
      <c r="BL18" s="5">
        <v>6.3890301229703068</v>
      </c>
      <c r="BM18" s="5">
        <v>5.4550322693038344</v>
      </c>
      <c r="BN18" s="5">
        <v>4.68893130885162</v>
      </c>
      <c r="BO18" s="229">
        <v>12.884394480442351</v>
      </c>
      <c r="BP18" s="229">
        <v>11.027020242028279</v>
      </c>
      <c r="BQ18" s="5">
        <v>9.4178963996601013</v>
      </c>
      <c r="BR18" s="5">
        <v>8.0708580235867764</v>
      </c>
      <c r="BS18" s="5">
        <v>6.9631476848889218</v>
      </c>
      <c r="BT18" s="5">
        <v>23.233878087205955</v>
      </c>
      <c r="BU18" s="5">
        <v>20.089951113297207</v>
      </c>
      <c r="BV18" s="5">
        <v>17.081605813725961</v>
      </c>
      <c r="BW18" s="5">
        <v>14.063257587714554</v>
      </c>
      <c r="BX18" s="5">
        <v>11.617145248253873</v>
      </c>
      <c r="BY18" s="8">
        <v>23.233878087205955</v>
      </c>
      <c r="BZ18" s="5">
        <v>20.089951113297207</v>
      </c>
      <c r="CA18" s="5">
        <v>17.081605813725961</v>
      </c>
      <c r="CB18" s="5">
        <v>14.063257587714554</v>
      </c>
      <c r="CC18" s="5">
        <v>11.617145248253873</v>
      </c>
      <c r="CE18" s="12">
        <v>24</v>
      </c>
      <c r="CF18" s="12">
        <v>24</v>
      </c>
      <c r="CG18" s="167">
        <v>24</v>
      </c>
      <c r="CH18" s="12">
        <v>24</v>
      </c>
      <c r="CI18" s="12">
        <v>24</v>
      </c>
      <c r="CJ18" s="46"/>
      <c r="CK18" s="46"/>
      <c r="CL18" s="46"/>
      <c r="CM18" s="46"/>
      <c r="CN18" s="46"/>
      <c r="CO18" s="136">
        <v>543.48941150750716</v>
      </c>
      <c r="CP18" s="136">
        <v>632.90500458997315</v>
      </c>
      <c r="CQ18" s="136">
        <v>761.24215164231339</v>
      </c>
      <c r="CR18" s="136">
        <v>914.51528842552602</v>
      </c>
      <c r="CS18" s="7"/>
      <c r="CT18" s="7">
        <v>36.173084673230619</v>
      </c>
      <c r="CU18" s="7">
        <v>36.24211960006474</v>
      </c>
      <c r="CV18" s="7">
        <v>36.519579968616263</v>
      </c>
      <c r="CW18" s="7">
        <v>37.194743035079263</v>
      </c>
      <c r="CX18" s="7">
        <v>38.054830581210275</v>
      </c>
      <c r="CY18" s="137"/>
      <c r="CZ18" s="137"/>
      <c r="DA18" s="137"/>
      <c r="DB18" s="137"/>
      <c r="DC18" s="101"/>
      <c r="DD18" s="185">
        <v>7464.1132333347759</v>
      </c>
      <c r="DE18" s="185">
        <v>7449.8953973850275</v>
      </c>
      <c r="DF18" s="185">
        <v>7393.2942337241893</v>
      </c>
      <c r="DG18" s="185">
        <v>7259.0903436369081</v>
      </c>
      <c r="DH18" s="185">
        <v>7095.0256741732437</v>
      </c>
      <c r="DI18" s="40">
        <v>-26335</v>
      </c>
      <c r="DJ18" s="40">
        <v>-26335</v>
      </c>
      <c r="DK18" s="40">
        <v>-26335</v>
      </c>
      <c r="DL18" s="40">
        <v>-26335</v>
      </c>
      <c r="DM18" s="40">
        <v>-26335</v>
      </c>
      <c r="DN18" s="7"/>
      <c r="DO18" s="7"/>
      <c r="DP18" s="7">
        <v>3.8280000000000003</v>
      </c>
      <c r="DQ18" s="7">
        <v>4.2108000000000008</v>
      </c>
      <c r="DR18" s="7">
        <v>4.6318800000000016</v>
      </c>
      <c r="DS18" s="7">
        <v>5.0950680000000022</v>
      </c>
      <c r="DT18" s="7">
        <v>5.6045748000000026</v>
      </c>
      <c r="DU18" s="78">
        <v>0.50001476569382519</v>
      </c>
      <c r="DV18" s="78">
        <v>0.28765427131373489</v>
      </c>
      <c r="DW18" s="6">
        <v>0.25661323813759696</v>
      </c>
      <c r="DX18" s="6">
        <v>0.24214060374500512</v>
      </c>
      <c r="DY18" s="172">
        <v>1.2888215428505474</v>
      </c>
      <c r="DZ18" s="138">
        <v>1.5092927170668284</v>
      </c>
      <c r="EA18" s="138">
        <v>1.8224078180918628</v>
      </c>
      <c r="EB18" s="138">
        <v>2.1953328333311632</v>
      </c>
      <c r="EC18" s="78">
        <v>4.5554330000000002E-3</v>
      </c>
      <c r="ED18" s="6">
        <v>6.5893709999999994E-2</v>
      </c>
      <c r="EE18" s="194">
        <v>-0.1281081</v>
      </c>
      <c r="EF18" s="363">
        <v>0.1717281385586551</v>
      </c>
      <c r="EG18" s="175">
        <v>9.0035847803626723E-4</v>
      </c>
      <c r="EH18" s="363">
        <v>0.17262849703669136</v>
      </c>
      <c r="EI18" s="6">
        <v>5.0861804093051965E-2</v>
      </c>
      <c r="EJ18" s="363">
        <v>0.22349030112974333</v>
      </c>
      <c r="EK18" s="6">
        <v>3.3122937007853626E-2</v>
      </c>
      <c r="EL18" s="194">
        <v>0.25661323813759696</v>
      </c>
      <c r="EM18" s="6">
        <v>0.16873155132457596</v>
      </c>
      <c r="EN18" s="194">
        <v>0.18216634571324763</v>
      </c>
    </row>
    <row r="19" spans="1:145" x14ac:dyDescent="0.25">
      <c r="B19" s="10" t="s">
        <v>88</v>
      </c>
      <c r="C19" s="10"/>
      <c r="D19" s="38" t="s">
        <v>228</v>
      </c>
      <c r="F19" s="239">
        <v>46140</v>
      </c>
      <c r="H19" s="245">
        <v>2205</v>
      </c>
      <c r="I19" s="25">
        <v>25930</v>
      </c>
      <c r="J19" s="25">
        <v>-3192142.338</v>
      </c>
      <c r="K19" s="2">
        <v>1036072.4090000001</v>
      </c>
      <c r="M19" s="23">
        <v>-2156069.929</v>
      </c>
      <c r="N19" s="24">
        <v>55019580.071000002</v>
      </c>
      <c r="O19" s="3">
        <v>2263891.2920000004</v>
      </c>
      <c r="P19" s="3">
        <v>2161735.841</v>
      </c>
      <c r="Q19" s="3">
        <v>2894307.699</v>
      </c>
      <c r="R19" s="3">
        <v>3809054.2720000003</v>
      </c>
      <c r="S19" s="3">
        <v>5039894.5114200003</v>
      </c>
      <c r="T19" s="3">
        <v>6594728.4505037507</v>
      </c>
      <c r="U19" s="3">
        <v>8633128.6523939371</v>
      </c>
      <c r="V19" s="3">
        <v>10355420.635415616</v>
      </c>
      <c r="W19" s="3">
        <v>12283063.276592026</v>
      </c>
      <c r="X19" s="21">
        <v>0.59559167472604935</v>
      </c>
      <c r="Y19" s="21">
        <v>0.54359584816635331</v>
      </c>
      <c r="Z19" s="21">
        <v>0.5612235231800764</v>
      </c>
      <c r="AA19" s="21">
        <v>0.59891348773095132</v>
      </c>
      <c r="AB19" s="21">
        <v>0.66920043758926462</v>
      </c>
      <c r="AC19" s="21">
        <v>0.66322767698730067</v>
      </c>
      <c r="AD19" s="21">
        <v>0.65343679209090744</v>
      </c>
      <c r="AE19" s="21">
        <v>0.62939630823899906</v>
      </c>
      <c r="AF19" s="21">
        <v>0.61454738924193786</v>
      </c>
      <c r="AG19" s="144">
        <v>1348354.8059999999</v>
      </c>
      <c r="AH19" s="144">
        <v>1175110.628</v>
      </c>
      <c r="AI19" s="144">
        <v>1624353.564</v>
      </c>
      <c r="AJ19" s="144">
        <v>2281293.9789999998</v>
      </c>
      <c r="AK19" s="144">
        <v>3372699.6124459971</v>
      </c>
      <c r="AL19" s="144">
        <v>4373806.4305896638</v>
      </c>
      <c r="AM19" s="144">
        <v>5641203.8923283927</v>
      </c>
      <c r="AN19" s="144">
        <v>6517663.5181925381</v>
      </c>
      <c r="AO19" s="144">
        <v>7548524.4685231522</v>
      </c>
      <c r="AP19" s="11">
        <v>39.204375371205984</v>
      </c>
      <c r="AQ19" s="11">
        <v>32.338218365536655</v>
      </c>
      <c r="AR19" s="11">
        <v>45.2475010798303</v>
      </c>
      <c r="AS19" s="11">
        <v>66.248221318113451</v>
      </c>
      <c r="AT19" s="11">
        <v>94.048579854356262</v>
      </c>
      <c r="AU19" s="11">
        <v>122.02140668834727</v>
      </c>
      <c r="AV19" s="11">
        <v>157.55569763153804</v>
      </c>
      <c r="AW19" s="11">
        <v>182.32035540343171</v>
      </c>
      <c r="AX19" s="11">
        <v>211.90932030790955</v>
      </c>
      <c r="AY19" s="145">
        <v>39.204375371205984</v>
      </c>
      <c r="AZ19" s="145">
        <v>32.338218365536655</v>
      </c>
      <c r="BA19" s="145">
        <v>45.2475010798303</v>
      </c>
      <c r="BB19" s="145">
        <v>66.248221318113451</v>
      </c>
      <c r="BC19" s="145">
        <v>94.048579854356262</v>
      </c>
      <c r="BD19" s="145">
        <v>122.02140668834727</v>
      </c>
      <c r="BE19" s="145">
        <v>157.55569763153804</v>
      </c>
      <c r="BF19" s="145">
        <v>182.32035540343171</v>
      </c>
      <c r="BG19" s="145">
        <v>211.90932030790955</v>
      </c>
      <c r="BH19">
        <v>19.009582184371613</v>
      </c>
      <c r="BI19">
        <v>14.444420095414172</v>
      </c>
      <c r="BJ19">
        <v>10.916811839281557</v>
      </c>
      <c r="BK19">
        <v>8.3429636995587337</v>
      </c>
      <c r="BL19">
        <v>6.3730754268029193</v>
      </c>
      <c r="BM19">
        <v>5.3131188010685566</v>
      </c>
      <c r="BN19">
        <v>4.4793044562305111</v>
      </c>
      <c r="BO19" s="5">
        <v>16.31321682724597</v>
      </c>
      <c r="BP19" s="5">
        <v>12.579335858624733</v>
      </c>
      <c r="BQ19" s="5">
        <v>9.7531628214719266</v>
      </c>
      <c r="BR19" s="5">
        <v>8.4416110033028975</v>
      </c>
      <c r="BS19" s="5">
        <v>7.2887860800382924</v>
      </c>
      <c r="BT19" s="5">
        <v>23.445330098707132</v>
      </c>
      <c r="BU19" s="5">
        <v>18.070599740189454</v>
      </c>
      <c r="BV19" s="5">
        <v>13.995050849615378</v>
      </c>
      <c r="BW19" s="5">
        <v>12.094096652679609</v>
      </c>
      <c r="BX19" s="5">
        <v>10.405394141211344</v>
      </c>
      <c r="BY19" s="8">
        <v>23.445330098707132</v>
      </c>
      <c r="BZ19" s="5">
        <v>18.070599740189454</v>
      </c>
      <c r="CA19" s="5">
        <v>13.995050849615378</v>
      </c>
      <c r="CB19" s="5">
        <v>12.094096652679609</v>
      </c>
      <c r="CC19" s="5">
        <v>10.405394141211344</v>
      </c>
      <c r="CE19" s="12">
        <v>20</v>
      </c>
      <c r="CF19" s="12">
        <v>20</v>
      </c>
      <c r="CG19" s="167">
        <v>20</v>
      </c>
      <c r="CH19" s="12">
        <v>20</v>
      </c>
      <c r="CI19" s="12">
        <v>18</v>
      </c>
      <c r="CJ19" s="46"/>
      <c r="CK19" s="46"/>
      <c r="CL19" s="46"/>
      <c r="CM19" s="46"/>
      <c r="CN19" s="46"/>
      <c r="CO19" s="43">
        <v>2558.1659564813117</v>
      </c>
      <c r="CP19" s="43">
        <v>3322.476907182705</v>
      </c>
      <c r="CQ19" s="43">
        <v>3888.5980561860647</v>
      </c>
      <c r="CR19" s="43">
        <v>4566.6876637116075</v>
      </c>
      <c r="CT19">
        <v>117.73782271436647</v>
      </c>
      <c r="CU19">
        <v>171.36295455194426</v>
      </c>
      <c r="CV19">
        <v>242.19094811743076</v>
      </c>
      <c r="CW19">
        <v>328.50125755341639</v>
      </c>
      <c r="CX19">
        <v>431.59469101139479</v>
      </c>
      <c r="DD19" s="42">
        <v>25931</v>
      </c>
      <c r="DE19" s="42">
        <v>25931</v>
      </c>
      <c r="DF19" s="42">
        <v>25931</v>
      </c>
      <c r="DG19" s="42">
        <v>25931</v>
      </c>
      <c r="DH19" s="42">
        <v>25931</v>
      </c>
      <c r="DP19" s="61">
        <v>22.501021894643479</v>
      </c>
      <c r="DQ19" s="61">
        <v>28.126277368304351</v>
      </c>
      <c r="DR19" s="61">
        <v>35.15784671038044</v>
      </c>
      <c r="DS19" s="61">
        <v>43.947308387975554</v>
      </c>
      <c r="DT19" s="61">
        <v>54.934135484969445</v>
      </c>
      <c r="DU19" s="78">
        <v>0.28236730811758459</v>
      </c>
      <c r="DV19" s="78">
        <v>0.29819308850041715</v>
      </c>
      <c r="DW19" s="6">
        <v>0.25120850250560567</v>
      </c>
      <c r="DX19" s="6">
        <v>0.2317091898080561</v>
      </c>
      <c r="DY19" s="171">
        <v>1.1703705117351271</v>
      </c>
      <c r="DZ19" s="132">
        <v>1.5297524745785274</v>
      </c>
      <c r="EA19" s="132">
        <v>1.8024413615235342</v>
      </c>
      <c r="EB19" s="132">
        <v>2.1298957451577829</v>
      </c>
      <c r="EC19" s="78">
        <v>8.6206900000000003E-2</v>
      </c>
      <c r="ED19" s="6">
        <v>0.15143599999999999</v>
      </c>
      <c r="EE19" s="194">
        <v>0.58064519999999997</v>
      </c>
      <c r="EF19" s="363">
        <v>0.26179136160555005</v>
      </c>
      <c r="EG19" s="175">
        <v>-2.5932014454369101E-2</v>
      </c>
      <c r="EH19" s="363">
        <v>0.23585934715118095</v>
      </c>
      <c r="EI19" s="6">
        <v>4.19357375605377E-2</v>
      </c>
      <c r="EJ19" s="363">
        <v>0.27779508471171865</v>
      </c>
      <c r="EK19" s="6">
        <v>-2.6586582206112985E-2</v>
      </c>
      <c r="EL19" s="194">
        <v>0.25120850250560567</v>
      </c>
      <c r="EM19" s="6">
        <v>0.24557942093788609</v>
      </c>
      <c r="EN19" s="194">
        <v>0.24688855578839775</v>
      </c>
      <c r="EO19">
        <v>172.15703999999999</v>
      </c>
    </row>
    <row r="20" spans="1:145" x14ac:dyDescent="0.25">
      <c r="B20" s="10" t="s">
        <v>90</v>
      </c>
      <c r="C20" s="10"/>
      <c r="D20" s="38" t="s">
        <v>82</v>
      </c>
      <c r="E20">
        <v>1</v>
      </c>
      <c r="F20" s="186">
        <v>45688</v>
      </c>
      <c r="G20" s="147"/>
      <c r="H20" s="149">
        <v>158.41999816894531</v>
      </c>
      <c r="I20" s="3">
        <v>1169</v>
      </c>
      <c r="J20" s="25">
        <v>-9609</v>
      </c>
      <c r="K20" s="3">
        <v>11446</v>
      </c>
      <c r="L20" s="3"/>
      <c r="M20" s="76">
        <v>1837</v>
      </c>
      <c r="N20" s="76">
        <v>187029.97785949707</v>
      </c>
      <c r="O20" s="3">
        <v>29520</v>
      </c>
      <c r="P20" s="3">
        <v>31207</v>
      </c>
      <c r="Q20" s="3">
        <v>34176</v>
      </c>
      <c r="R20" s="3">
        <v>36800</v>
      </c>
      <c r="S20" s="3">
        <v>40273.14</v>
      </c>
      <c r="T20" s="3">
        <v>45307.1345</v>
      </c>
      <c r="U20" s="3">
        <v>50851.130094</v>
      </c>
      <c r="V20" s="3">
        <v>56381.116424600004</v>
      </c>
      <c r="W20" s="3">
        <v>62355.580072735211</v>
      </c>
      <c r="X20" s="21">
        <v>0.74261517615176154</v>
      </c>
      <c r="Y20" s="21">
        <v>0.72429262665427629</v>
      </c>
      <c r="Z20" s="21">
        <v>0.7318293539325843</v>
      </c>
      <c r="AA20" s="21">
        <v>0.73764945652173908</v>
      </c>
      <c r="AB20" s="21">
        <v>0.73802709696835178</v>
      </c>
      <c r="AC20" s="21">
        <v>0.73982573399908758</v>
      </c>
      <c r="AD20" s="21">
        <v>0.74211568086993507</v>
      </c>
      <c r="AE20" s="21">
        <v>0.7453321903489627</v>
      </c>
      <c r="AF20" s="21">
        <v>0.74935857697350228</v>
      </c>
      <c r="AG20" s="144">
        <v>21922</v>
      </c>
      <c r="AH20" s="144">
        <v>22603</v>
      </c>
      <c r="AI20" s="144">
        <v>25011</v>
      </c>
      <c r="AJ20" s="144">
        <v>27145.5</v>
      </c>
      <c r="AK20" s="144">
        <v>29722.668600000005</v>
      </c>
      <c r="AL20" s="144">
        <v>33519.384036857882</v>
      </c>
      <c r="AM20" s="144">
        <v>37737.421032714454</v>
      </c>
      <c r="AN20" s="144">
        <v>42022.660999066997</v>
      </c>
      <c r="AO20" s="144">
        <v>46726.688749662135</v>
      </c>
      <c r="AP20" s="11">
        <v>4.0161702127659575</v>
      </c>
      <c r="AQ20" s="11">
        <v>3.6754237288135592</v>
      </c>
      <c r="AR20" s="11">
        <v>4.4796610169491524</v>
      </c>
      <c r="AS20" s="11">
        <v>6.0991489361702129</v>
      </c>
      <c r="AT20" s="11">
        <v>7.1545717182091444</v>
      </c>
      <c r="AU20" s="11">
        <v>8.5750357339995453</v>
      </c>
      <c r="AV20" s="11">
        <v>10.465866482766273</v>
      </c>
      <c r="AW20" s="11">
        <v>12.432472627336123</v>
      </c>
      <c r="AX20" s="11">
        <v>14.872586727709393</v>
      </c>
      <c r="AY20" s="11">
        <v>4.0161702127659575</v>
      </c>
      <c r="AZ20" s="11">
        <v>3.6754237288135592</v>
      </c>
      <c r="BA20" s="11">
        <v>4.4796610169491524</v>
      </c>
      <c r="BB20" s="11">
        <v>6.0991489361702129</v>
      </c>
      <c r="BC20" s="11">
        <v>7.1545717182091444</v>
      </c>
      <c r="BD20" s="11">
        <v>8.5750357339995453</v>
      </c>
      <c r="BE20" s="11">
        <v>10.465866482766273</v>
      </c>
      <c r="BF20" s="11">
        <v>12.432472627336123</v>
      </c>
      <c r="BG20" s="11">
        <v>14.872586727709393</v>
      </c>
      <c r="BH20" s="5">
        <v>5.472553191113561</v>
      </c>
      <c r="BI20" s="5">
        <v>5.0823363548776381</v>
      </c>
      <c r="BJ20" s="5">
        <v>4.6440376354934596</v>
      </c>
      <c r="BK20" s="5">
        <v>4.1280469383800265</v>
      </c>
      <c r="BL20" s="5">
        <v>3.677990587697185</v>
      </c>
      <c r="BM20" s="5">
        <v>3.3172450231562429</v>
      </c>
      <c r="BN20" s="5">
        <v>2.9994104399531576</v>
      </c>
      <c r="BO20" s="5">
        <v>6.2925028831192176</v>
      </c>
      <c r="BP20" s="5">
        <v>5.5797558109611769</v>
      </c>
      <c r="BQ20" s="5">
        <v>4.9560879557021496</v>
      </c>
      <c r="BR20" s="5">
        <v>4.4506933500391508</v>
      </c>
      <c r="BS20" s="5">
        <v>4.0026370980727677</v>
      </c>
      <c r="BT20" s="5">
        <v>22.142485170111524</v>
      </c>
      <c r="BU20" s="5">
        <v>18.474558367240235</v>
      </c>
      <c r="BV20" s="5">
        <v>15.136825835663892</v>
      </c>
      <c r="BW20" s="5">
        <v>12.742436916419706</v>
      </c>
      <c r="BX20" s="5">
        <v>10.651812026336351</v>
      </c>
      <c r="BY20" s="8">
        <v>22.142485170111524</v>
      </c>
      <c r="BZ20" s="5">
        <v>18.474558367240235</v>
      </c>
      <c r="CA20" s="5">
        <v>15.136825835663892</v>
      </c>
      <c r="CB20" s="5">
        <v>12.742436916419706</v>
      </c>
      <c r="CC20" s="5">
        <v>10.651812026336351</v>
      </c>
      <c r="CE20" s="12">
        <v>22</v>
      </c>
      <c r="CF20" s="12">
        <v>22</v>
      </c>
      <c r="CG20" s="167">
        <v>22</v>
      </c>
      <c r="CH20" s="12">
        <v>22</v>
      </c>
      <c r="CI20" s="82">
        <v>24</v>
      </c>
      <c r="CJ20" s="46"/>
      <c r="CK20" s="46"/>
      <c r="CL20" s="46"/>
      <c r="CM20" s="46"/>
      <c r="CN20" s="46"/>
      <c r="CO20" s="43">
        <v>188.65078614799</v>
      </c>
      <c r="CP20" s="43">
        <v>230.24906262085801</v>
      </c>
      <c r="CQ20" s="43">
        <v>273.51439780139469</v>
      </c>
      <c r="CR20" s="43">
        <v>327.19690800960666</v>
      </c>
      <c r="CS20" s="7"/>
      <c r="CT20" s="7"/>
      <c r="CU20" s="7"/>
      <c r="CV20" s="7"/>
      <c r="CW20" s="7"/>
      <c r="CX20" s="7"/>
      <c r="CY20" s="41">
        <v>220789.27827819853</v>
      </c>
      <c r="CZ20" s="41">
        <v>263601.11780320387</v>
      </c>
      <c r="DA20" s="41">
        <v>305681.9658041806</v>
      </c>
      <c r="DB20" s="41">
        <v>356154.29075774428</v>
      </c>
      <c r="DC20" s="19"/>
      <c r="DD20" s="40">
        <v>1160.6221354754284</v>
      </c>
      <c r="DE20" s="40">
        <v>1136.8737610638636</v>
      </c>
      <c r="DF20" s="40">
        <v>1110.8920343740356</v>
      </c>
      <c r="DG20" s="40">
        <v>1082.8870386126673</v>
      </c>
      <c r="DH20" s="40">
        <v>1053.2432391937741</v>
      </c>
      <c r="DI20" s="40">
        <v>1837</v>
      </c>
      <c r="DJ20" s="40">
        <v>1837</v>
      </c>
      <c r="DK20" s="40">
        <v>1837</v>
      </c>
      <c r="DL20" s="40">
        <v>1837</v>
      </c>
      <c r="DM20" s="40">
        <v>1837</v>
      </c>
      <c r="DN20" s="7"/>
      <c r="DO20" s="7"/>
      <c r="DP20" s="7">
        <v>2.861828687283658</v>
      </c>
      <c r="DQ20" s="7">
        <v>3.4300142935998186</v>
      </c>
      <c r="DR20" s="7">
        <v>4.1863465931065091</v>
      </c>
      <c r="DS20" s="7">
        <v>4.9729890509344497</v>
      </c>
      <c r="DT20" s="7">
        <v>5.9490346910837575</v>
      </c>
      <c r="DU20" s="78">
        <v>0.34603502172181333</v>
      </c>
      <c r="DV20" s="78">
        <v>0.27727001070917767</v>
      </c>
      <c r="DW20" s="6">
        <v>0.24780693566949408</v>
      </c>
      <c r="DX20" s="6">
        <v>0.23649041948470484</v>
      </c>
      <c r="DY20" s="171">
        <v>1.2088916617145589</v>
      </c>
      <c r="DZ20" s="132">
        <v>1.4931252893304856</v>
      </c>
      <c r="EA20" s="132">
        <v>1.7926561713030942</v>
      </c>
      <c r="EB20" s="132">
        <v>2.1629092955115286</v>
      </c>
      <c r="EC20" s="78">
        <v>1.4080870000000001E-2</v>
      </c>
      <c r="ED20" s="6">
        <v>-7.2039389999999995E-2</v>
      </c>
      <c r="EE20" s="194">
        <v>-0.22900239999999999</v>
      </c>
      <c r="EF20" s="363">
        <v>0.11706119516668645</v>
      </c>
      <c r="EG20" s="175">
        <v>5.6450039104270378E-2</v>
      </c>
      <c r="EH20" s="363">
        <v>0.17351123427095683</v>
      </c>
      <c r="EI20" s="6">
        <v>5.1508786745922852E-2</v>
      </c>
      <c r="EJ20" s="363">
        <v>0.22502002101687968</v>
      </c>
      <c r="EK20" s="6">
        <v>2.2786914652614398E-2</v>
      </c>
      <c r="EL20" s="194">
        <v>0.24780693566949408</v>
      </c>
      <c r="EM20" s="6">
        <v>0.12235931888292328</v>
      </c>
      <c r="EN20" s="194">
        <v>0.2022403230689418</v>
      </c>
      <c r="EO20">
        <v>299.87987199999998</v>
      </c>
    </row>
    <row r="21" spans="1:145" x14ac:dyDescent="0.25">
      <c r="B21" s="9" t="s">
        <v>52</v>
      </c>
      <c r="C21" s="9"/>
      <c r="D21" s="38" t="s">
        <v>79</v>
      </c>
      <c r="F21" s="186">
        <v>45901</v>
      </c>
      <c r="G21" s="147"/>
      <c r="H21" s="149">
        <v>183.875</v>
      </c>
      <c r="I21" s="3">
        <v>940</v>
      </c>
      <c r="J21" s="25">
        <v>-11323</v>
      </c>
      <c r="K21" s="3">
        <v>8438</v>
      </c>
      <c r="L21" s="3"/>
      <c r="M21" s="76">
        <v>-2885</v>
      </c>
      <c r="N21" s="76">
        <v>169957.5</v>
      </c>
      <c r="O21" s="3">
        <v>31352</v>
      </c>
      <c r="P21" s="3">
        <v>34857</v>
      </c>
      <c r="Q21" s="3">
        <v>37895</v>
      </c>
      <c r="R21" s="3">
        <v>41116.074999999997</v>
      </c>
      <c r="S21" s="3">
        <v>44405.360999999997</v>
      </c>
      <c r="T21" s="3">
        <v>47735.763074999995</v>
      </c>
      <c r="U21" s="3">
        <v>51077.266490249996</v>
      </c>
      <c r="V21" s="3">
        <v>54397.288812116247</v>
      </c>
      <c r="W21" s="3">
        <v>57661.126140843226</v>
      </c>
      <c r="X21" s="21">
        <v>0.78227864251084456</v>
      </c>
      <c r="Y21" s="21">
        <v>0.79539260406804946</v>
      </c>
      <c r="Z21" s="21">
        <v>0.80538329594933367</v>
      </c>
      <c r="AA21" s="21">
        <v>0.81038329594933367</v>
      </c>
      <c r="AB21" s="21">
        <v>0.81538329594933368</v>
      </c>
      <c r="AC21" s="21">
        <v>0.82038329594933368</v>
      </c>
      <c r="AD21" s="21">
        <v>0.82538329594933368</v>
      </c>
      <c r="AE21" s="21">
        <v>0.83038329594933369</v>
      </c>
      <c r="AF21" s="21">
        <v>0.83538329594933369</v>
      </c>
      <c r="AG21" s="144">
        <v>24526</v>
      </c>
      <c r="AH21" s="144">
        <v>27725</v>
      </c>
      <c r="AI21" s="144">
        <v>30520</v>
      </c>
      <c r="AJ21" s="144">
        <v>33319.780374999995</v>
      </c>
      <c r="AK21" s="144">
        <v>36207.389609999998</v>
      </c>
      <c r="AL21" s="144">
        <v>39161.622646124997</v>
      </c>
      <c r="AM21" s="144">
        <v>42158.322563804999</v>
      </c>
      <c r="AN21" s="144">
        <v>45170.599974512901</v>
      </c>
      <c r="AO21" s="144">
        <v>48169.141603687895</v>
      </c>
      <c r="AP21" s="11">
        <v>5.2397191574724173</v>
      </c>
      <c r="AQ21" s="11">
        <v>8.2184959349593498</v>
      </c>
      <c r="AR21" s="11">
        <v>10.195071868583161</v>
      </c>
      <c r="AS21" s="11">
        <v>11.443808585223104</v>
      </c>
      <c r="AT21" s="11">
        <v>13.15269076858513</v>
      </c>
      <c r="AU21" s="11">
        <v>14.993792385481447</v>
      </c>
      <c r="AV21" s="11">
        <v>16.873156525342441</v>
      </c>
      <c r="AW21" s="11">
        <v>18.777427103670629</v>
      </c>
      <c r="AX21" s="11">
        <v>20.662040886158422</v>
      </c>
      <c r="AY21" s="11">
        <v>2.6902648824347035</v>
      </c>
      <c r="AZ21" s="11">
        <v>6.0517238064254633</v>
      </c>
      <c r="BA21" s="11">
        <v>7.646103699727596</v>
      </c>
      <c r="BB21" s="11">
        <v>8.656132692852573</v>
      </c>
      <c r="BC21" s="11">
        <v>10.182365991873477</v>
      </c>
      <c r="BD21" s="11">
        <v>11.74880878134535</v>
      </c>
      <c r="BE21" s="11">
        <v>13.35134076729746</v>
      </c>
      <c r="BF21" s="11">
        <v>14.975576236385848</v>
      </c>
      <c r="BG21" s="11">
        <v>16.581743551349835</v>
      </c>
      <c r="BH21" s="5"/>
      <c r="BI21" s="5"/>
      <c r="BJ21" s="5"/>
      <c r="BK21" s="5"/>
      <c r="BL21" s="5"/>
      <c r="BM21" s="5"/>
      <c r="BN21" s="5"/>
      <c r="BO21" s="5">
        <v>4.6940003637561327</v>
      </c>
      <c r="BP21" s="5">
        <v>4.3398993329715134</v>
      </c>
      <c r="BQ21" s="5">
        <v>4.0314103992817989</v>
      </c>
      <c r="BR21" s="5">
        <v>3.7625690182529561</v>
      </c>
      <c r="BS21" s="5">
        <v>3.5283481154455081</v>
      </c>
      <c r="BT21" s="5">
        <v>13.980029123712146</v>
      </c>
      <c r="BU21" s="5">
        <v>12.263408434149518</v>
      </c>
      <c r="BV21" s="5">
        <v>10.897486769818741</v>
      </c>
      <c r="BW21" s="5">
        <v>9.7923426348467064</v>
      </c>
      <c r="BX21" s="5">
        <v>8.8991693034146753</v>
      </c>
      <c r="BY21" s="8">
        <v>18.058180205538694</v>
      </c>
      <c r="BZ21" s="5">
        <v>15.650522825084618</v>
      </c>
      <c r="CA21" s="5">
        <v>13.772025087576239</v>
      </c>
      <c r="CB21" s="5">
        <v>12.278325528018263</v>
      </c>
      <c r="CC21" s="5">
        <v>11.089002759606162</v>
      </c>
      <c r="CE21" s="12">
        <v>20</v>
      </c>
      <c r="CF21" s="12">
        <v>20</v>
      </c>
      <c r="CG21" s="167">
        <v>20</v>
      </c>
      <c r="CH21" s="12">
        <v>20</v>
      </c>
      <c r="CI21" s="82">
        <v>25</v>
      </c>
      <c r="CJ21" s="46">
        <v>293.72021953363372</v>
      </c>
      <c r="CK21" s="46">
        <v>333.78351918243652</v>
      </c>
      <c r="CL21" s="46">
        <v>374.3894059096462</v>
      </c>
      <c r="CM21" s="46">
        <v>414.54358878374586</v>
      </c>
      <c r="CN21" s="46">
        <v>453.06825680014384</v>
      </c>
      <c r="CO21" s="43">
        <v>234.97617562690698</v>
      </c>
      <c r="CP21" s="43">
        <v>267.02681534594922</v>
      </c>
      <c r="CQ21" s="43">
        <v>299.51152472771696</v>
      </c>
      <c r="CR21" s="43">
        <v>331.63487102699668</v>
      </c>
      <c r="CS21" s="7"/>
      <c r="CT21" s="7"/>
      <c r="CU21" s="7"/>
      <c r="CV21" s="7"/>
      <c r="CW21" s="7"/>
      <c r="CX21" s="7"/>
      <c r="CY21" s="41"/>
      <c r="CZ21" s="41"/>
      <c r="DA21" s="41"/>
      <c r="DB21" s="41"/>
      <c r="DC21" s="19"/>
      <c r="DD21" s="40">
        <v>944.51984846111998</v>
      </c>
      <c r="DE21" s="40">
        <v>917.94350272935003</v>
      </c>
      <c r="DF21" s="40">
        <v>893.68137840247664</v>
      </c>
      <c r="DG21" s="40">
        <v>870.50522675887214</v>
      </c>
      <c r="DH21" s="40">
        <v>848.74384189492025</v>
      </c>
      <c r="DI21" s="40"/>
      <c r="DJ21" s="40"/>
      <c r="DK21" s="40"/>
      <c r="DL21" s="40"/>
      <c r="DM21" s="40"/>
      <c r="DN21" s="7"/>
      <c r="DO21" s="7"/>
      <c r="DP21" s="7">
        <v>1.8399999999999999</v>
      </c>
      <c r="DQ21" s="7">
        <v>2.1159999999999997</v>
      </c>
      <c r="DR21" s="7">
        <v>2.4333999999999993</v>
      </c>
      <c r="DS21" s="7">
        <v>2.7984099999999992</v>
      </c>
      <c r="DT21" s="7">
        <v>3.2181714999999986</v>
      </c>
      <c r="DU21" s="78">
        <v>0.49760272832064034</v>
      </c>
      <c r="DV21" s="78">
        <v>0.26858827863243007</v>
      </c>
      <c r="DW21" s="6">
        <v>0.21344345379361473</v>
      </c>
      <c r="DX21" s="6">
        <v>0.1852353668801443</v>
      </c>
      <c r="DY21" s="171">
        <v>1.2879193779845384</v>
      </c>
      <c r="DZ21" s="132">
        <v>1.473733869998364</v>
      </c>
      <c r="EA21" s="132">
        <v>1.6636352126592355</v>
      </c>
      <c r="EB21" s="132">
        <v>1.8535563889979423</v>
      </c>
      <c r="EC21" s="78">
        <v>9.9374140000000003E-3</v>
      </c>
      <c r="ED21" s="6">
        <v>-7.231871E-3</v>
      </c>
      <c r="EE21" s="194">
        <v>-0.1927769</v>
      </c>
      <c r="EF21" s="363">
        <v>6.901292622966726E-2</v>
      </c>
      <c r="EG21" s="175">
        <v>3.49170784708146E-2</v>
      </c>
      <c r="EH21" s="363">
        <v>0.10393000470048186</v>
      </c>
      <c r="EI21" s="6">
        <v>4.2209350665236067E-2</v>
      </c>
      <c r="EJ21" s="363">
        <v>0.14613935536571793</v>
      </c>
      <c r="EK21" s="6">
        <v>6.7304098427896808E-2</v>
      </c>
      <c r="EL21" s="194">
        <v>0.21344345379361473</v>
      </c>
      <c r="EM21" s="6"/>
      <c r="EN21" s="194"/>
      <c r="EO21">
        <v>281.84979199999998</v>
      </c>
    </row>
    <row r="22" spans="1:145" x14ac:dyDescent="0.25">
      <c r="B22" s="10" t="s">
        <v>102</v>
      </c>
      <c r="C22" s="10"/>
      <c r="D22" s="38" t="s">
        <v>42</v>
      </c>
      <c r="E22" s="291"/>
      <c r="F22" s="186">
        <v>45992</v>
      </c>
      <c r="G22" s="147"/>
      <c r="H22" s="149">
        <v>412.69500732421875</v>
      </c>
      <c r="I22" s="3">
        <v>282</v>
      </c>
      <c r="J22" s="25">
        <v>-4552</v>
      </c>
      <c r="K22" s="3">
        <v>5973</v>
      </c>
      <c r="L22" s="3"/>
      <c r="M22" s="76">
        <v>1421</v>
      </c>
      <c r="N22" s="76">
        <v>117800.99206542969</v>
      </c>
      <c r="O22" s="3">
        <v>12726</v>
      </c>
      <c r="P22" s="3">
        <v>14368</v>
      </c>
      <c r="Q22" s="3">
        <v>16285</v>
      </c>
      <c r="R22" s="3">
        <v>18831</v>
      </c>
      <c r="S22" s="3">
        <v>21322.138157887257</v>
      </c>
      <c r="T22" s="3">
        <v>23904.037277252552</v>
      </c>
      <c r="U22" s="3">
        <v>26711.595095647863</v>
      </c>
      <c r="V22" s="3">
        <v>29878.041158497988</v>
      </c>
      <c r="W22" s="3">
        <v>33446.623073806608</v>
      </c>
      <c r="X22" s="21">
        <v>0.8</v>
      </c>
      <c r="Y22" s="21">
        <v>0.8</v>
      </c>
      <c r="Z22" s="21">
        <v>0.8</v>
      </c>
      <c r="AA22" s="21">
        <v>0.8</v>
      </c>
      <c r="AB22" s="21">
        <v>0.8</v>
      </c>
      <c r="AC22" s="21">
        <v>0.8</v>
      </c>
      <c r="AD22" s="21">
        <v>0.8</v>
      </c>
      <c r="AE22" s="21">
        <v>0.8</v>
      </c>
      <c r="AF22" s="21">
        <v>0.8</v>
      </c>
      <c r="AG22" s="144">
        <v>10180.800000000001</v>
      </c>
      <c r="AH22" s="144">
        <v>11494.400000000001</v>
      </c>
      <c r="AI22" s="144">
        <v>13028</v>
      </c>
      <c r="AJ22" s="144">
        <v>15064.800000000001</v>
      </c>
      <c r="AK22" s="144">
        <v>17057.710526309806</v>
      </c>
      <c r="AL22" s="144">
        <v>19123.229821802041</v>
      </c>
      <c r="AM22" s="144">
        <v>21369.27607651829</v>
      </c>
      <c r="AN22" s="144">
        <v>23902.432926798392</v>
      </c>
      <c r="AO22" s="144">
        <v>26757.298459045287</v>
      </c>
      <c r="AP22" s="11">
        <v>12.918745541565055</v>
      </c>
      <c r="AQ22" s="11">
        <v>15.468286011712205</v>
      </c>
      <c r="AR22" s="11">
        <v>18.278391935831721</v>
      </c>
      <c r="AS22" s="11">
        <v>21.81595649186896</v>
      </c>
      <c r="AT22" s="11">
        <v>25.883022611684346</v>
      </c>
      <c r="AU22" s="11">
        <v>30.300189957801781</v>
      </c>
      <c r="AV22" s="11">
        <v>35.409788154608229</v>
      </c>
      <c r="AW22" s="11">
        <v>41.409191779441514</v>
      </c>
      <c r="AX22" s="11">
        <v>48.451254922306063</v>
      </c>
      <c r="AY22" s="145">
        <v>9.9559584686777463</v>
      </c>
      <c r="AZ22" s="145">
        <v>11.672446489023557</v>
      </c>
      <c r="BA22" s="145">
        <v>13.820115637071087</v>
      </c>
      <c r="BB22" s="145">
        <v>16.694311871824336</v>
      </c>
      <c r="BC22" s="145">
        <v>19.970928301536706</v>
      </c>
      <c r="BD22" s="145">
        <v>23.797055294243172</v>
      </c>
      <c r="BE22" s="145">
        <v>28.11911489146722</v>
      </c>
      <c r="BF22" s="145">
        <v>33.07389885909145</v>
      </c>
      <c r="BG22" s="145">
        <v>38.910211198271746</v>
      </c>
      <c r="BH22" s="5">
        <v>7.2337115176806686</v>
      </c>
      <c r="BI22" s="5">
        <v>6.2556949745329344</v>
      </c>
      <c r="BJ22" s="5">
        <v>5.5248207845353452</v>
      </c>
      <c r="BK22" s="5">
        <v>4.9280793323365053</v>
      </c>
      <c r="BL22" s="5">
        <v>4.4101069832637245</v>
      </c>
      <c r="BM22" s="5">
        <v>3.9427280871766399</v>
      </c>
      <c r="BN22" s="5">
        <v>3.5220593662169848</v>
      </c>
      <c r="BO22" s="5">
        <v>6.9060259806691811</v>
      </c>
      <c r="BP22" s="5">
        <v>6.1600991654206316</v>
      </c>
      <c r="BQ22" s="5">
        <v>5.5126337290796554</v>
      </c>
      <c r="BR22" s="5">
        <v>4.928410108970799</v>
      </c>
      <c r="BS22" s="5">
        <v>4.4025742077712309</v>
      </c>
      <c r="BT22" s="5">
        <v>15.944621828592625</v>
      </c>
      <c r="BU22" s="5">
        <v>13.62021188312573</v>
      </c>
      <c r="BV22" s="5">
        <v>11.654828476303964</v>
      </c>
      <c r="BW22" s="5">
        <v>9.9662656910176661</v>
      </c>
      <c r="BX22" s="5">
        <v>8.5177361863174692</v>
      </c>
      <c r="BY22" s="8">
        <v>20.664788391056568</v>
      </c>
      <c r="BZ22" s="5">
        <v>17.342272067756856</v>
      </c>
      <c r="CA22" s="5">
        <v>14.676671328991638</v>
      </c>
      <c r="CB22" s="5">
        <v>12.477966661338325</v>
      </c>
      <c r="CC22" s="5">
        <v>10.606342001622165</v>
      </c>
      <c r="CD22" t="s">
        <v>55</v>
      </c>
      <c r="CE22" s="12">
        <v>20</v>
      </c>
      <c r="CF22" s="12">
        <v>20</v>
      </c>
      <c r="CG22" s="167">
        <v>20</v>
      </c>
      <c r="CH22" s="12">
        <v>20</v>
      </c>
      <c r="CI22" s="82">
        <v>25</v>
      </c>
      <c r="CJ22" s="46">
        <v>642.5204929445656</v>
      </c>
      <c r="CK22" s="46">
        <v>759.21610206961498</v>
      </c>
      <c r="CL22" s="46">
        <v>892.99526919546918</v>
      </c>
      <c r="CM22" s="46">
        <v>1050.5757023533372</v>
      </c>
      <c r="CN22" s="46">
        <v>1236.1775925604047</v>
      </c>
      <c r="CO22" s="43">
        <v>475.94110588486342</v>
      </c>
      <c r="CP22" s="43">
        <v>562.38229782934445</v>
      </c>
      <c r="CQ22" s="43">
        <v>661.47797718182903</v>
      </c>
      <c r="CR22" s="43">
        <v>778.20422396543495</v>
      </c>
      <c r="CS22" s="7"/>
      <c r="CT22" s="7"/>
      <c r="CU22" s="7"/>
      <c r="CV22" s="7"/>
      <c r="CW22" s="7"/>
      <c r="CX22" s="7"/>
      <c r="CY22" s="41"/>
      <c r="CZ22" s="41"/>
      <c r="DA22" s="41"/>
      <c r="DB22" s="41"/>
      <c r="DC22" s="19"/>
      <c r="DD22" s="40"/>
      <c r="DE22" s="40"/>
      <c r="DF22" s="40"/>
      <c r="DG22" s="40"/>
      <c r="DH22" s="40"/>
      <c r="DI22" s="40"/>
      <c r="DJ22" s="40"/>
      <c r="DK22" s="40"/>
      <c r="DL22" s="40"/>
      <c r="DM22" s="40"/>
      <c r="DN22" s="7"/>
      <c r="DO22" s="7"/>
      <c r="DP22" s="7">
        <v>5.14539454590928</v>
      </c>
      <c r="DQ22" s="7">
        <v>6.02350175587714</v>
      </c>
      <c r="DR22" s="7">
        <v>7.0392601967698702</v>
      </c>
      <c r="DS22" s="7">
        <v>8.2319067880528465</v>
      </c>
      <c r="DT22" s="7">
        <v>9.6318280349201615</v>
      </c>
      <c r="DU22" s="78">
        <v>0.27259293928552064</v>
      </c>
      <c r="DV22" s="78">
        <v>0.2228221063883058</v>
      </c>
      <c r="DW22" s="6">
        <v>0.20850713546502053</v>
      </c>
      <c r="DX22" s="6">
        <v>0.20179149857033463</v>
      </c>
      <c r="DY22" s="171">
        <v>1.1657192161106631</v>
      </c>
      <c r="DZ22" s="132">
        <v>1.3897701303678274</v>
      </c>
      <c r="EA22" s="132">
        <v>1.6469453751991112</v>
      </c>
      <c r="EB22" s="132">
        <v>1.9497310919002826</v>
      </c>
      <c r="EC22" s="78">
        <v>4.9446919999999998E-2</v>
      </c>
      <c r="ED22" s="6">
        <v>8.1655900000000003E-2</v>
      </c>
      <c r="EE22" s="194">
        <v>-0.36568959999999995</v>
      </c>
      <c r="EF22" s="363"/>
      <c r="EG22" s="175"/>
      <c r="EH22" s="363"/>
      <c r="EI22" s="6"/>
      <c r="EJ22" s="363"/>
      <c r="EK22" s="6"/>
      <c r="EL22" s="194"/>
      <c r="EM22" s="6"/>
      <c r="EN22" s="194"/>
      <c r="EO22">
        <v>11385.04</v>
      </c>
    </row>
    <row r="23" spans="1:145" x14ac:dyDescent="0.25">
      <c r="B23" s="10" t="s">
        <v>53</v>
      </c>
      <c r="C23" s="10"/>
      <c r="D23" s="38" t="s">
        <v>169</v>
      </c>
      <c r="E23">
        <v>1</v>
      </c>
      <c r="F23" s="143">
        <v>46120</v>
      </c>
      <c r="H23" s="149">
        <v>1503</v>
      </c>
      <c r="I23" s="39">
        <v>236.15899999999999</v>
      </c>
      <c r="J23" s="25">
        <v>-13179</v>
      </c>
      <c r="K23" s="2">
        <v>97935</v>
      </c>
      <c r="M23" s="23">
        <v>84756</v>
      </c>
      <c r="N23" s="24">
        <v>439702.97700000001</v>
      </c>
      <c r="O23" s="3"/>
      <c r="P23" s="3"/>
      <c r="Q23" s="3">
        <v>167106</v>
      </c>
      <c r="R23" s="3">
        <v>288458.39647751173</v>
      </c>
      <c r="S23" s="3">
        <v>276504.65492707555</v>
      </c>
      <c r="T23" s="3">
        <v>279123.69344760955</v>
      </c>
      <c r="U23" s="3">
        <v>285244.74318328482</v>
      </c>
      <c r="V23" s="3">
        <v>291551.26951984334</v>
      </c>
      <c r="W23" s="3">
        <v>298050.43131547008</v>
      </c>
      <c r="X23" s="21"/>
      <c r="Y23" s="21"/>
      <c r="Z23" s="21"/>
      <c r="AA23" s="21">
        <v>0.27823739377824797</v>
      </c>
      <c r="AB23" s="21">
        <v>0.28499666833630255</v>
      </c>
      <c r="AC23" s="21">
        <v>0.28741231826357239</v>
      </c>
      <c r="AD23" s="21">
        <v>0.28975498611949485</v>
      </c>
      <c r="AE23" s="21">
        <v>0.29218037746140962</v>
      </c>
      <c r="AF23" s="21">
        <v>0.29469035824384504</v>
      </c>
      <c r="AG23" s="144"/>
      <c r="AH23" s="144"/>
      <c r="AI23" s="144">
        <v>42974</v>
      </c>
      <c r="AJ23" s="144">
        <v>80259.912449355412</v>
      </c>
      <c r="AK23" s="144">
        <v>78802.905433695531</v>
      </c>
      <c r="AL23" s="144">
        <v>80223.587816068175</v>
      </c>
      <c r="AM23" s="144">
        <v>82651.086601731571</v>
      </c>
      <c r="AN23" s="144">
        <v>85185.559977660989</v>
      </c>
      <c r="AO23" s="144">
        <v>87832.588379088411</v>
      </c>
      <c r="AP23" s="11"/>
      <c r="AQ23" s="11"/>
      <c r="AR23" s="11"/>
      <c r="AS23" s="11">
        <v>50.906380870515207</v>
      </c>
      <c r="AT23" s="11">
        <v>67.813728300411768</v>
      </c>
      <c r="AU23" s="11">
        <v>92.547674767935817</v>
      </c>
      <c r="AV23" s="11">
        <v>107.11499167827235</v>
      </c>
      <c r="AW23" s="11">
        <v>116.54704726071415</v>
      </c>
      <c r="AX23" s="11">
        <v>127.07195372577763</v>
      </c>
      <c r="AY23" s="11"/>
      <c r="AZ23" s="11"/>
      <c r="BA23" s="11"/>
      <c r="BB23" s="18">
        <v>50.906380870515207</v>
      </c>
      <c r="BC23" s="18">
        <v>67.813728300411768</v>
      </c>
      <c r="BD23" s="18">
        <v>92.547674767935817</v>
      </c>
      <c r="BE23" s="18">
        <v>107.11499167827235</v>
      </c>
      <c r="BF23" s="18">
        <v>116.54704726071415</v>
      </c>
      <c r="BG23" s="18">
        <v>127.07195372577763</v>
      </c>
      <c r="BH23" s="5"/>
      <c r="BI23" s="5">
        <v>1.524320256818315</v>
      </c>
      <c r="BJ23" s="5">
        <v>1.5902190764779922</v>
      </c>
      <c r="BK23" s="5">
        <v>1.5752979317842488</v>
      </c>
      <c r="BL23" s="5">
        <v>1.5414937085009401</v>
      </c>
      <c r="BM23" s="5">
        <v>1.5081497594716298</v>
      </c>
      <c r="BN23" s="5">
        <v>1.4752636829255197</v>
      </c>
      <c r="BO23" s="5">
        <v>5.5797812857289184</v>
      </c>
      <c r="BP23" s="5">
        <v>5.4809687396196312</v>
      </c>
      <c r="BQ23" s="5">
        <v>5.3199902757332662</v>
      </c>
      <c r="BR23" s="5">
        <v>5.1617078894041137</v>
      </c>
      <c r="BS23" s="5">
        <v>5.0061484594103858</v>
      </c>
      <c r="BT23" s="5">
        <v>22.163653845159164</v>
      </c>
      <c r="BU23" s="5">
        <v>16.240278362139158</v>
      </c>
      <c r="BV23" s="5">
        <v>14.031649318653448</v>
      </c>
      <c r="BW23" s="5">
        <v>12.896079611848162</v>
      </c>
      <c r="BX23" s="5">
        <v>11.827944372709393</v>
      </c>
      <c r="BY23" s="8">
        <v>22.163653845159164</v>
      </c>
      <c r="BZ23" s="5">
        <v>16.240278362139158</v>
      </c>
      <c r="CA23" s="5">
        <v>14.031649318653448</v>
      </c>
      <c r="CB23" s="5">
        <v>12.896079611848162</v>
      </c>
      <c r="CC23" s="5">
        <v>11.827944372709393</v>
      </c>
      <c r="CE23" s="12">
        <v>21</v>
      </c>
      <c r="CF23" s="12">
        <v>21</v>
      </c>
      <c r="CG23" s="167">
        <v>21</v>
      </c>
      <c r="CH23" s="12">
        <v>21</v>
      </c>
      <c r="CI23" s="12">
        <v>22</v>
      </c>
      <c r="CJ23" s="46"/>
      <c r="CK23" s="46"/>
      <c r="CL23" s="46"/>
      <c r="CM23" s="46"/>
      <c r="CN23" s="46"/>
      <c r="CO23" s="43">
        <v>1943.5011701266521</v>
      </c>
      <c r="CP23" s="43">
        <v>2249.4148252437194</v>
      </c>
      <c r="CQ23" s="43">
        <v>2447.4879924749971</v>
      </c>
      <c r="CR23" s="43">
        <v>2668.5110282413302</v>
      </c>
      <c r="CS23" s="7"/>
      <c r="CT23" s="7"/>
      <c r="CU23" s="7"/>
      <c r="CV23" s="7"/>
      <c r="CW23" s="7"/>
      <c r="CX23" s="7"/>
      <c r="CY23" s="19"/>
      <c r="CZ23" s="19"/>
      <c r="DA23" s="19"/>
      <c r="DB23" s="19"/>
      <c r="DC23" s="19"/>
      <c r="DD23" s="40">
        <v>236.15899999999999</v>
      </c>
      <c r="DE23" s="40">
        <v>228.54085992933221</v>
      </c>
      <c r="DF23" s="40">
        <v>217.49764362621156</v>
      </c>
      <c r="DG23" s="40">
        <v>207.86395143347687</v>
      </c>
      <c r="DH23" s="40">
        <v>198.71779015583047</v>
      </c>
      <c r="DI23" s="40"/>
      <c r="DJ23" s="40"/>
      <c r="DK23" s="40"/>
      <c r="DL23" s="40"/>
      <c r="DM23" s="40"/>
      <c r="DN23" s="7"/>
      <c r="DO23" s="7"/>
      <c r="DP23" s="22">
        <v>7.3500000000000005</v>
      </c>
      <c r="DQ23" s="22">
        <v>7.7175000000000011</v>
      </c>
      <c r="DR23" s="22">
        <v>8.1033750000000015</v>
      </c>
      <c r="DS23" s="22">
        <v>8.5085437500000012</v>
      </c>
      <c r="DT23" s="22">
        <v>8.9339709375000016</v>
      </c>
      <c r="DU23" s="78">
        <v>0.52027151352271184</v>
      </c>
      <c r="DV23" s="78">
        <v>0.2870835080006493</v>
      </c>
      <c r="DW23" s="6">
        <v>0.20843930771337393</v>
      </c>
      <c r="DX23" s="6">
        <v>0.17537793312083494</v>
      </c>
      <c r="DY23" s="171">
        <v>1.2979715037436141</v>
      </c>
      <c r="DZ23" s="132">
        <v>1.5066416002952225</v>
      </c>
      <c r="EA23" s="132">
        <v>1.6438182750997987</v>
      </c>
      <c r="EB23" s="132">
        <v>1.7965338968671527</v>
      </c>
      <c r="EC23" s="78">
        <v>-0.12233579999999999</v>
      </c>
      <c r="ED23" s="6">
        <v>-9.9730460000000007E-2</v>
      </c>
      <c r="EE23" s="194">
        <v>7.8192250000000005E-2</v>
      </c>
      <c r="EF23" s="363">
        <v>1.9035036190086618E-2</v>
      </c>
      <c r="EG23" s="6">
        <v>0.10175606553092775</v>
      </c>
      <c r="EH23" s="363">
        <v>0.12079110172101437</v>
      </c>
      <c r="EI23" s="6">
        <v>5.4582776184405574E-2</v>
      </c>
      <c r="EJ23" s="363">
        <v>0.17537387790541994</v>
      </c>
      <c r="EK23" s="6">
        <v>3.3065429807953989E-2</v>
      </c>
      <c r="EL23" s="194">
        <v>0.20843930771337393</v>
      </c>
      <c r="EM23" s="6">
        <v>2.6300603280629664E-2</v>
      </c>
      <c r="EN23" s="194">
        <v>0.19782824898128881</v>
      </c>
      <c r="EO23">
        <v>335.57580799999999</v>
      </c>
    </row>
    <row r="24" spans="1:145" outlineLevel="1" x14ac:dyDescent="0.25">
      <c r="A24" t="s">
        <v>98</v>
      </c>
      <c r="B24" s="10" t="s">
        <v>172</v>
      </c>
      <c r="C24" s="10"/>
      <c r="D24" s="142" t="s">
        <v>40</v>
      </c>
      <c r="E24" s="290">
        <v>1</v>
      </c>
      <c r="F24" s="186">
        <v>45994</v>
      </c>
      <c r="G24" s="147"/>
      <c r="H24" s="149">
        <v>94.06</v>
      </c>
      <c r="I24" s="3">
        <v>527</v>
      </c>
      <c r="J24" s="25">
        <v>-3949</v>
      </c>
      <c r="K24" s="3">
        <v>11804</v>
      </c>
      <c r="L24" s="3"/>
      <c r="M24" s="76">
        <v>7855</v>
      </c>
      <c r="N24" s="76">
        <v>57424.62</v>
      </c>
      <c r="O24" s="3">
        <v>7428</v>
      </c>
      <c r="P24" s="3">
        <v>8009</v>
      </c>
      <c r="Q24" s="3">
        <v>8494</v>
      </c>
      <c r="R24" s="3">
        <v>8986</v>
      </c>
      <c r="S24" s="3">
        <v>9659.1734500000002</v>
      </c>
      <c r="T24" s="3">
        <v>10357.270659169542</v>
      </c>
      <c r="U24" s="3">
        <v>11113.277096985054</v>
      </c>
      <c r="V24" s="3">
        <v>11932.294503048175</v>
      </c>
      <c r="W24" s="3">
        <v>12819.889107750785</v>
      </c>
      <c r="X24" s="21">
        <v>0.87</v>
      </c>
      <c r="Y24" s="21">
        <v>0.87</v>
      </c>
      <c r="Z24" s="21">
        <v>0.87</v>
      </c>
      <c r="AA24" s="21">
        <v>0.87</v>
      </c>
      <c r="AB24" s="21">
        <v>0.87</v>
      </c>
      <c r="AC24" s="21">
        <v>0.87</v>
      </c>
      <c r="AD24" s="21">
        <v>0.87</v>
      </c>
      <c r="AE24" s="21">
        <v>0.87</v>
      </c>
      <c r="AF24" s="21">
        <v>0.87</v>
      </c>
      <c r="AG24" s="144">
        <v>6462.36</v>
      </c>
      <c r="AH24" s="144">
        <v>6967.83</v>
      </c>
      <c r="AI24" s="144">
        <v>7389.78</v>
      </c>
      <c r="AJ24" s="144">
        <v>7817.82</v>
      </c>
      <c r="AK24" s="144">
        <v>8403.480901500001</v>
      </c>
      <c r="AL24" s="144">
        <v>9010.8254734775019</v>
      </c>
      <c r="AM24" s="144">
        <v>9668.5510743769973</v>
      </c>
      <c r="AN24" s="144">
        <v>10381.096217651912</v>
      </c>
      <c r="AO24" s="144">
        <v>11153.303523743183</v>
      </c>
      <c r="AP24" s="11">
        <v>3.1779999999999999</v>
      </c>
      <c r="AQ24" s="11">
        <v>3.2389999999999999</v>
      </c>
      <c r="AR24" s="11">
        <v>3.6349999999999998</v>
      </c>
      <c r="AS24" s="11">
        <v>4.2060000000000004</v>
      </c>
      <c r="AT24" s="11">
        <v>4.6016561645683751</v>
      </c>
      <c r="AU24" s="11">
        <v>5.1498970810976781</v>
      </c>
      <c r="AV24" s="11">
        <v>5.9086919214913722</v>
      </c>
      <c r="AW24" s="11">
        <v>6.7569185031844068</v>
      </c>
      <c r="AX24" s="11">
        <v>7.7070950499038489</v>
      </c>
      <c r="AY24" s="145">
        <v>3.1779999999999999</v>
      </c>
      <c r="AZ24" s="145">
        <v>3.2389999999999999</v>
      </c>
      <c r="BA24" s="145">
        <v>3.6349999999999998</v>
      </c>
      <c r="BB24" s="145">
        <v>4.2060000000000004</v>
      </c>
      <c r="BC24" s="145">
        <v>4.6016561645683751</v>
      </c>
      <c r="BD24" s="145">
        <v>5.1498970810976781</v>
      </c>
      <c r="BE24" s="145">
        <v>5.9086919214913722</v>
      </c>
      <c r="BF24" s="145">
        <v>6.7569185031844068</v>
      </c>
      <c r="BG24" s="145">
        <v>7.7070950499038489</v>
      </c>
      <c r="BH24" s="5">
        <v>6.7606098422415828</v>
      </c>
      <c r="BI24" s="5">
        <v>6.3904540396171825</v>
      </c>
      <c r="BJ24" s="5">
        <v>5.9450863262011309</v>
      </c>
      <c r="BK24" s="5">
        <v>5.5443776540840517</v>
      </c>
      <c r="BL24" s="5">
        <v>5.1672085109421833</v>
      </c>
      <c r="BM24" s="5">
        <v>4.8125379393988759</v>
      </c>
      <c r="BN24" s="5">
        <v>4.4793382779950583</v>
      </c>
      <c r="BO24" s="5">
        <v>6.8334325588518734</v>
      </c>
      <c r="BP24" s="5">
        <v>6.37284787825753</v>
      </c>
      <c r="BQ24" s="5">
        <v>5.9393201275197498</v>
      </c>
      <c r="BR24" s="5">
        <v>5.5316528039067547</v>
      </c>
      <c r="BS24" s="5">
        <v>5.1486646873506414</v>
      </c>
      <c r="BT24" s="5">
        <v>20.440466787640275</v>
      </c>
      <c r="BU24" s="5">
        <v>18.264442671143929</v>
      </c>
      <c r="BV24" s="5">
        <v>15.918921014967889</v>
      </c>
      <c r="BW24" s="5">
        <v>13.920546763390933</v>
      </c>
      <c r="BX24" s="5">
        <v>12.20433890992086</v>
      </c>
      <c r="BY24" s="8">
        <v>20.440466787640275</v>
      </c>
      <c r="BZ24" s="5">
        <v>18.264442671143929</v>
      </c>
      <c r="CA24" s="5">
        <v>15.918921014967889</v>
      </c>
      <c r="CB24" s="5">
        <v>13.920546763390933</v>
      </c>
      <c r="CC24" s="5">
        <v>12.20433890992086</v>
      </c>
      <c r="CD24" t="s">
        <v>31</v>
      </c>
      <c r="CE24" s="12">
        <v>22</v>
      </c>
      <c r="CF24" s="12">
        <v>22</v>
      </c>
      <c r="CG24" s="167">
        <v>22</v>
      </c>
      <c r="CH24" s="12">
        <v>22</v>
      </c>
      <c r="CI24" s="82">
        <v>24</v>
      </c>
      <c r="CJ24" s="46"/>
      <c r="CK24" s="46"/>
      <c r="CL24" s="46"/>
      <c r="CM24" s="46"/>
      <c r="CN24" s="46"/>
      <c r="CO24" s="43">
        <v>113.29773578414891</v>
      </c>
      <c r="CP24" s="43">
        <v>129.99122227281018</v>
      </c>
      <c r="CQ24" s="43">
        <v>148.65220707005696</v>
      </c>
      <c r="CR24" s="43">
        <v>169.55609109788469</v>
      </c>
      <c r="CS24" s="7"/>
      <c r="CT24" s="7"/>
      <c r="CU24" s="7"/>
      <c r="CV24" s="7"/>
      <c r="CW24" s="7"/>
      <c r="CX24" s="7"/>
      <c r="CY24" s="41"/>
      <c r="CZ24" s="41"/>
      <c r="DA24" s="41"/>
      <c r="DB24" s="41"/>
      <c r="DC24" s="19"/>
      <c r="DD24" s="40">
        <v>509.24246042280845</v>
      </c>
      <c r="DE24" s="40">
        <v>477.56504861153945</v>
      </c>
      <c r="DF24" s="40">
        <v>452.12571712642205</v>
      </c>
      <c r="DG24" s="40">
        <v>429.72616729697756</v>
      </c>
      <c r="DH24" s="40">
        <v>408.66850662311367</v>
      </c>
      <c r="DI24" s="40"/>
      <c r="DJ24" s="40"/>
      <c r="DK24" s="40"/>
      <c r="DL24" s="40"/>
      <c r="DM24" s="40"/>
      <c r="DN24" s="7"/>
      <c r="DO24" s="7"/>
      <c r="DP24" s="7">
        <v>1.6763268374492155</v>
      </c>
      <c r="DQ24" s="7">
        <v>1.9279932953802303</v>
      </c>
      <c r="DR24" s="7">
        <v>2.2094085348114305</v>
      </c>
      <c r="DS24" s="7">
        <v>2.5236532931515163</v>
      </c>
      <c r="DT24" s="7">
        <v>2.8745860667184213</v>
      </c>
      <c r="DU24" s="78">
        <v>0.3706238809956437</v>
      </c>
      <c r="DV24" s="78">
        <v>0.23830904762858762</v>
      </c>
      <c r="DW24" s="6">
        <v>0.20660031465951545</v>
      </c>
      <c r="DX24" s="6">
        <v>0.19134524385652396</v>
      </c>
      <c r="DY24" s="171">
        <v>1.2223481035679153</v>
      </c>
      <c r="DZ24" s="132">
        <v>1.4203225856436275</v>
      </c>
      <c r="EA24" s="132">
        <v>1.6422064186444589</v>
      </c>
      <c r="EB24" s="132">
        <v>1.8912765581403048</v>
      </c>
      <c r="EC24" s="78">
        <v>-5.2876480000000007E-3</v>
      </c>
      <c r="ED24" s="6">
        <v>0.2093083</v>
      </c>
      <c r="EE24" s="194">
        <v>0.1210965</v>
      </c>
      <c r="EF24" s="363">
        <v>7.2854995783256715E-2</v>
      </c>
      <c r="EG24" s="175">
        <v>4.7214208555859116E-3</v>
      </c>
      <c r="EH24" s="363">
        <v>7.7576416638842627E-2</v>
      </c>
      <c r="EI24" s="6">
        <v>8.293479717624816E-2</v>
      </c>
      <c r="EJ24" s="362">
        <v>0.16051121381509079</v>
      </c>
      <c r="EK24" s="363">
        <v>4.6089100844424663E-2</v>
      </c>
      <c r="EL24" s="194">
        <v>0.20660031465951545</v>
      </c>
      <c r="EM24" s="6">
        <v>7.2987509209937906E-2</v>
      </c>
      <c r="EN24" s="194">
        <v>0.13661008520515905</v>
      </c>
      <c r="EO24">
        <v>892.01388799999995</v>
      </c>
    </row>
    <row r="25" spans="1:145" x14ac:dyDescent="0.25">
      <c r="B25" s="10" t="s">
        <v>138</v>
      </c>
      <c r="C25" s="10"/>
      <c r="D25" s="38" t="s">
        <v>37</v>
      </c>
      <c r="E25" s="291">
        <v>2</v>
      </c>
      <c r="F25" s="186">
        <v>45987</v>
      </c>
      <c r="G25" s="147"/>
      <c r="H25" s="225">
        <v>247.02999877929688</v>
      </c>
      <c r="I25" s="25">
        <v>214</v>
      </c>
      <c r="J25" s="25">
        <v>-2236</v>
      </c>
      <c r="K25" s="2">
        <v>2481</v>
      </c>
      <c r="L25" s="2"/>
      <c r="M25" s="80">
        <v>245</v>
      </c>
      <c r="N25" s="184">
        <v>53109.419738769531</v>
      </c>
      <c r="O25" s="3">
        <v>5005</v>
      </c>
      <c r="P25" s="3">
        <v>5497</v>
      </c>
      <c r="Q25" s="3">
        <v>6131</v>
      </c>
      <c r="R25" s="3">
        <v>7163.5943950858727</v>
      </c>
      <c r="S25" s="3">
        <v>8033.9294878308101</v>
      </c>
      <c r="T25" s="3">
        <v>8899.6560969511374</v>
      </c>
      <c r="U25" s="3">
        <v>9836.7868349397959</v>
      </c>
      <c r="V25" s="3">
        <v>10567.905875955987</v>
      </c>
      <c r="W25" s="3">
        <v>11329</v>
      </c>
      <c r="X25" s="4">
        <v>0.92387612387612383</v>
      </c>
      <c r="Y25" s="4">
        <v>0.92414044024013098</v>
      </c>
      <c r="Z25" s="4">
        <v>0.92692872288370576</v>
      </c>
      <c r="AA25" s="4">
        <v>0.93948958807312821</v>
      </c>
      <c r="AB25" s="4">
        <v>0.94497064109644469</v>
      </c>
      <c r="AC25" s="4">
        <v>0.94634816739643968</v>
      </c>
      <c r="AD25" s="4">
        <v>0.94773818054988768</v>
      </c>
      <c r="AE25" s="4">
        <v>0.94773818054988768</v>
      </c>
      <c r="AF25" s="4">
        <v>0.94773293652774482</v>
      </c>
      <c r="AG25" s="146">
        <v>4624</v>
      </c>
      <c r="AH25" s="146">
        <v>5080</v>
      </c>
      <c r="AI25" s="146">
        <v>5683</v>
      </c>
      <c r="AJ25" s="146">
        <v>6730.1223473621967</v>
      </c>
      <c r="AK25" s="146">
        <v>7591.8274986391125</v>
      </c>
      <c r="AL25" s="146">
        <v>8422.1732378082597</v>
      </c>
      <c r="AM25" s="146">
        <v>9322.6984574029302</v>
      </c>
      <c r="AN25" s="146">
        <v>10015.607887100994</v>
      </c>
      <c r="AO25" s="146">
        <v>10736.866437922821</v>
      </c>
      <c r="AP25" s="148">
        <v>6.6284403669724767</v>
      </c>
      <c r="AQ25" s="148">
        <v>7.6064814814814818</v>
      </c>
      <c r="AR25" s="148">
        <v>8.4746543778801851</v>
      </c>
      <c r="AS25" s="148">
        <v>10.251992961819862</v>
      </c>
      <c r="AT25" s="148">
        <v>12.167684283472573</v>
      </c>
      <c r="AU25" s="148">
        <v>14.530859944135434</v>
      </c>
      <c r="AV25" s="148">
        <v>17.248806320916767</v>
      </c>
      <c r="AW25" s="11">
        <v>19.883967426837742</v>
      </c>
      <c r="AX25" s="11">
        <v>22.82</v>
      </c>
      <c r="AY25" s="148">
        <v>4.1156484989645303</v>
      </c>
      <c r="AZ25" s="148">
        <v>4.9368077513359587</v>
      </c>
      <c r="BA25" s="148">
        <v>5.9147191496874028</v>
      </c>
      <c r="BB25" s="148">
        <v>7.5987971260000808</v>
      </c>
      <c r="BC25" s="148">
        <v>9.4111835977816405</v>
      </c>
      <c r="BD25" s="148">
        <v>11.687000654894684</v>
      </c>
      <c r="BE25" s="148">
        <v>14.338177082425609</v>
      </c>
      <c r="BF25" s="11">
        <v>16.764465088412191</v>
      </c>
      <c r="BG25" s="11">
        <v>19.352083633203886</v>
      </c>
      <c r="BH25" s="5">
        <v>8.6624400161098567</v>
      </c>
      <c r="BI25" s="5">
        <v>7.4137949204943627</v>
      </c>
      <c r="BJ25" s="5">
        <v>6.6106405114976017</v>
      </c>
      <c r="BK25" s="5">
        <v>5.9675811245070323</v>
      </c>
      <c r="BL25" s="5">
        <v>5.3990617698583661</v>
      </c>
      <c r="BM25" s="5">
        <v>5.0255386792953605</v>
      </c>
      <c r="BN25" s="5">
        <v>4.6879177101923855</v>
      </c>
      <c r="BO25" s="228">
        <v>6.9956041214437183</v>
      </c>
      <c r="BP25" s="5">
        <v>6.305904454726039</v>
      </c>
      <c r="BQ25" s="5">
        <v>5.6967861806789024</v>
      </c>
      <c r="BR25" s="5">
        <v>5.3026656332231861</v>
      </c>
      <c r="BS25" s="5">
        <v>4.946454353868651</v>
      </c>
      <c r="BT25" s="5">
        <v>20.302137450660105</v>
      </c>
      <c r="BU25" s="5">
        <v>17.00037022784716</v>
      </c>
      <c r="BV25" s="5">
        <v>14.321570674704367</v>
      </c>
      <c r="BW25" s="5">
        <v>12.423576918853534</v>
      </c>
      <c r="BX25" s="5">
        <v>10.825153320740441</v>
      </c>
      <c r="BY25" s="8">
        <v>26.248558028081145</v>
      </c>
      <c r="BZ25" s="5">
        <v>21.137159659166887</v>
      </c>
      <c r="CA25" s="5">
        <v>17.228828836413456</v>
      </c>
      <c r="CB25" s="5">
        <v>14.735334379982522</v>
      </c>
      <c r="CC25" s="5">
        <v>12.76503365019817</v>
      </c>
      <c r="CD25" t="s">
        <v>55</v>
      </c>
      <c r="CE25" s="12">
        <v>24</v>
      </c>
      <c r="CF25" s="12">
        <v>24</v>
      </c>
      <c r="CG25" s="167">
        <v>24</v>
      </c>
      <c r="CH25" s="12">
        <v>24</v>
      </c>
      <c r="CI25" s="12">
        <v>24</v>
      </c>
      <c r="CJ25" s="46">
        <v>361.37</v>
      </c>
      <c r="CK25" s="46">
        <v>384.69774758455685</v>
      </c>
      <c r="CL25" s="46">
        <v>448.42553936773533</v>
      </c>
      <c r="CM25" s="46">
        <v>516.21179333293685</v>
      </c>
      <c r="CN25" s="46">
        <v>591.48334075116236</v>
      </c>
      <c r="CO25" s="136">
        <v>280.48801571747242</v>
      </c>
      <c r="CP25" s="136">
        <v>344.11624997821463</v>
      </c>
      <c r="CQ25" s="136">
        <v>402.34716212189255</v>
      </c>
      <c r="CR25" s="136">
        <v>464.45000719689324</v>
      </c>
      <c r="CS25" s="7"/>
      <c r="CT25" s="7"/>
      <c r="CU25" s="7"/>
      <c r="CV25" s="7"/>
      <c r="CW25" s="7"/>
      <c r="CX25" s="7"/>
      <c r="CY25" s="137">
        <v>58480.99178644667</v>
      </c>
      <c r="CZ25" s="137">
        <v>69336.430198499787</v>
      </c>
      <c r="DA25" s="137">
        <v>78205.419770337117</v>
      </c>
      <c r="DB25" s="137">
        <v>86990.650535660097</v>
      </c>
      <c r="DC25" s="101"/>
      <c r="DD25" s="185">
        <v>207.80920581347939</v>
      </c>
      <c r="DE25" s="185">
        <v>200.93044197383045</v>
      </c>
      <c r="DF25" s="185">
        <v>193.893301891124</v>
      </c>
      <c r="DG25" s="185">
        <v>186.88265516349571</v>
      </c>
      <c r="DH25" s="185">
        <v>180.09897876856564</v>
      </c>
      <c r="DI25" s="40">
        <v>193</v>
      </c>
      <c r="DJ25" s="40">
        <v>193</v>
      </c>
      <c r="DK25" s="40">
        <v>193</v>
      </c>
      <c r="DL25" s="40">
        <v>193</v>
      </c>
      <c r="DM25" s="40">
        <v>193</v>
      </c>
      <c r="DN25" s="7"/>
      <c r="DO25" s="7"/>
      <c r="DP25" s="7"/>
      <c r="DQ25" s="7"/>
      <c r="DR25" s="7"/>
      <c r="DS25" s="7"/>
      <c r="DT25" s="7"/>
      <c r="DU25" s="78">
        <v>0.22770292993515806</v>
      </c>
      <c r="DV25" s="78">
        <v>0.22717505293257245</v>
      </c>
      <c r="DW25" s="6">
        <v>0.20471586192668911</v>
      </c>
      <c r="DX25" s="6">
        <v>0.19058414747200181</v>
      </c>
      <c r="DY25" s="172">
        <v>1.1354411087864185</v>
      </c>
      <c r="DZ25" s="138">
        <v>1.3930140131913986</v>
      </c>
      <c r="EA25" s="138">
        <v>1.628738064648416</v>
      </c>
      <c r="EB25" s="138">
        <v>1.8801360542929246</v>
      </c>
      <c r="EC25" s="78">
        <v>2.070075E-2</v>
      </c>
      <c r="ED25" s="6">
        <v>7.8262739999999997E-2</v>
      </c>
      <c r="EE25" s="194">
        <v>-0.1516536</v>
      </c>
      <c r="EF25" s="363">
        <v>9.3424514411172277E-2</v>
      </c>
      <c r="EG25" s="175">
        <v>7.0492242495941992E-2</v>
      </c>
      <c r="EH25" s="363">
        <v>0.16391675690711427</v>
      </c>
      <c r="EI25" s="6">
        <v>4.1472414117399659E-2</v>
      </c>
      <c r="EJ25" s="363">
        <v>0.20538917102451393</v>
      </c>
      <c r="EK25" s="6">
        <v>-6.7330909782481463E-4</v>
      </c>
      <c r="EL25" s="194">
        <v>0.20471586192668911</v>
      </c>
      <c r="EM25" s="6">
        <v>9.6756778726385217E-2</v>
      </c>
      <c r="EN25" s="194">
        <v>0.21222104188198321</v>
      </c>
      <c r="EO25">
        <v>531.11228800000004</v>
      </c>
    </row>
    <row r="26" spans="1:145" x14ac:dyDescent="0.25">
      <c r="D26" s="38" t="s">
        <v>38</v>
      </c>
      <c r="E26" s="291"/>
      <c r="F26" s="143">
        <v>45990</v>
      </c>
      <c r="G26" s="147"/>
      <c r="H26" s="149">
        <v>20.389999389648438</v>
      </c>
      <c r="I26" s="3">
        <v>1328</v>
      </c>
      <c r="J26" s="25">
        <v>-3910</v>
      </c>
      <c r="K26" s="3">
        <v>2588</v>
      </c>
      <c r="L26" s="3">
        <v>5.5</v>
      </c>
      <c r="M26" s="76">
        <v>-1322</v>
      </c>
      <c r="N26" s="76">
        <v>25761.419189453125</v>
      </c>
      <c r="O26" s="3">
        <v>5665.5263825156799</v>
      </c>
      <c r="P26" s="3">
        <v>5951.3991358217063</v>
      </c>
      <c r="Q26" s="3">
        <v>6213.5793619444003</v>
      </c>
      <c r="R26" s="3">
        <v>6239.5743315210157</v>
      </c>
      <c r="S26" s="3">
        <v>6347.1427721881064</v>
      </c>
      <c r="T26" s="3">
        <v>6759.7070523803332</v>
      </c>
      <c r="U26" s="3">
        <v>7199.0880107850553</v>
      </c>
      <c r="V26" s="3">
        <v>7703.0241715400089</v>
      </c>
      <c r="W26" s="3">
        <v>8242.2358635478104</v>
      </c>
      <c r="X26" s="4">
        <v>0.83939678605257184</v>
      </c>
      <c r="Y26" s="4">
        <v>0.8396263719489897</v>
      </c>
      <c r="Z26" s="4">
        <v>0.8391415460328755</v>
      </c>
      <c r="AA26" s="4">
        <v>0.84040682793885157</v>
      </c>
      <c r="AB26" s="4">
        <v>0.84</v>
      </c>
      <c r="AC26" s="4">
        <v>0.84</v>
      </c>
      <c r="AD26" s="4">
        <v>0.84</v>
      </c>
      <c r="AE26" s="4">
        <v>0.84</v>
      </c>
      <c r="AF26" s="4">
        <v>0.84</v>
      </c>
      <c r="AG26" s="146">
        <v>4755.6246367797157</v>
      </c>
      <c r="AH26" s="3">
        <v>4996.9516644303321</v>
      </c>
      <c r="AI26" s="3">
        <v>5214.0725921799922</v>
      </c>
      <c r="AJ26" s="3">
        <v>5243.7808716422569</v>
      </c>
      <c r="AK26" s="3">
        <v>5331.5999286380093</v>
      </c>
      <c r="AL26" s="3">
        <v>5678.15392399948</v>
      </c>
      <c r="AM26" s="3">
        <v>6047.2339290594464</v>
      </c>
      <c r="AN26" s="3">
        <v>6470.5403040936071</v>
      </c>
      <c r="AO26" s="3">
        <v>6923.4781253801602</v>
      </c>
      <c r="AP26" s="11">
        <v>1.1346955395960416</v>
      </c>
      <c r="AQ26" s="11">
        <v>1.1952827204769103</v>
      </c>
      <c r="AR26" s="11">
        <v>1.2788021469304727</v>
      </c>
      <c r="AS26" s="11">
        <v>1.3076858338567257</v>
      </c>
      <c r="AT26" s="11">
        <v>1.33626934100348</v>
      </c>
      <c r="AU26" s="11">
        <v>1.4388746345522332</v>
      </c>
      <c r="AV26" s="11">
        <v>1.5697437697986787</v>
      </c>
      <c r="AW26" s="11">
        <v>1.7210108999834823</v>
      </c>
      <c r="AX26" s="11">
        <v>1.8709968748051311</v>
      </c>
      <c r="AY26" s="11">
        <v>1.0342553071310174</v>
      </c>
      <c r="AZ26" s="11">
        <v>1.049260552797272</v>
      </c>
      <c r="BA26" s="11">
        <v>1.1293072515263849</v>
      </c>
      <c r="BB26" s="11">
        <v>1.1523712655784828</v>
      </c>
      <c r="BC26" s="11">
        <v>1.1791617283698124</v>
      </c>
      <c r="BD26" s="11">
        <v>1.2729798899345841</v>
      </c>
      <c r="BE26" s="11">
        <v>1.3930658667808822</v>
      </c>
      <c r="BF26" s="11">
        <v>1.5366916776601665</v>
      </c>
      <c r="BG26" s="11">
        <v>1.673775306919183</v>
      </c>
      <c r="BH26" s="5">
        <v>4.1459869889537657</v>
      </c>
      <c r="BI26" s="5">
        <v>4.1287142072035046</v>
      </c>
      <c r="BJ26" s="5">
        <v>4.0587426680134637</v>
      </c>
      <c r="BK26" s="5">
        <v>3.8110259793553647</v>
      </c>
      <c r="BL26" s="5">
        <v>3.5784281496294503</v>
      </c>
      <c r="BM26" s="5">
        <v>3.3443253734854674</v>
      </c>
      <c r="BN26" s="5">
        <v>3.1255377322294087</v>
      </c>
      <c r="BO26" s="5">
        <v>4.831836509539837</v>
      </c>
      <c r="BP26" s="5">
        <v>4.5369356897087671</v>
      </c>
      <c r="BQ26" s="5">
        <v>4.2600335114636314</v>
      </c>
      <c r="BR26" s="5">
        <v>3.9813397303398426</v>
      </c>
      <c r="BS26" s="5">
        <v>3.720878252654058</v>
      </c>
      <c r="BT26" s="5">
        <v>15.258899358071357</v>
      </c>
      <c r="BU26" s="5">
        <v>14.170796329308876</v>
      </c>
      <c r="BV26" s="5">
        <v>12.989380675970752</v>
      </c>
      <c r="BW26" s="5">
        <v>11.847687536345141</v>
      </c>
      <c r="BX26" s="5">
        <v>10.897933430151831</v>
      </c>
      <c r="BY26" s="8">
        <v>17.291944691791812</v>
      </c>
      <c r="BZ26" s="5">
        <v>16.017534566627159</v>
      </c>
      <c r="CA26" s="5">
        <v>14.636780554221717</v>
      </c>
      <c r="CB26" s="5">
        <v>13.268764115840815</v>
      </c>
      <c r="CC26" s="5">
        <v>12.182040985644051</v>
      </c>
      <c r="CD26" t="s">
        <v>55</v>
      </c>
      <c r="CE26" s="12">
        <v>18</v>
      </c>
      <c r="CF26" s="12">
        <v>18</v>
      </c>
      <c r="CG26" s="167">
        <v>18</v>
      </c>
      <c r="CH26" s="12">
        <v>18</v>
      </c>
      <c r="CI26" s="12">
        <v>20</v>
      </c>
      <c r="CJ26" s="46">
        <v>39.85317999669082</v>
      </c>
      <c r="CK26" s="46">
        <v>45.040970996596243</v>
      </c>
      <c r="CL26" s="46">
        <v>50.913963202403721</v>
      </c>
      <c r="CM26" s="46">
        <v>56.580432929010001</v>
      </c>
      <c r="CN26" s="46">
        <v>63.401039890724839</v>
      </c>
      <c r="CO26" s="43">
        <v>25.119170547529318</v>
      </c>
      <c r="CP26" s="43">
        <v>28.258535223377812</v>
      </c>
      <c r="CQ26" s="43">
        <v>31.921218237669581</v>
      </c>
      <c r="CR26" s="43">
        <v>35.585642543153192</v>
      </c>
      <c r="CS26" s="7"/>
      <c r="CT26" s="7">
        <v>2.2055325287068031</v>
      </c>
      <c r="CU26" s="7">
        <v>3.1833496213219328</v>
      </c>
      <c r="CV26" s="7">
        <v>4.2607680397865861</v>
      </c>
      <c r="CW26" s="7">
        <v>5.4576870186078974</v>
      </c>
      <c r="CX26" s="7">
        <v>6.7462160067653869</v>
      </c>
      <c r="CY26" s="41"/>
      <c r="CZ26" s="41"/>
      <c r="DA26" s="41"/>
      <c r="DB26" s="41"/>
      <c r="DC26" s="19"/>
      <c r="DD26" s="40">
        <v>1328.3510000000001</v>
      </c>
      <c r="DE26" s="40">
        <v>1328.3510000000001</v>
      </c>
      <c r="DF26" s="40">
        <v>1328.3510000000001</v>
      </c>
      <c r="DG26" s="40">
        <v>1328.3510000000001</v>
      </c>
      <c r="DH26" s="40">
        <v>1328.3510000000001</v>
      </c>
      <c r="DI26" s="40"/>
      <c r="DJ26" s="40"/>
      <c r="DK26" s="40"/>
      <c r="DL26" s="40"/>
      <c r="DM26" s="40"/>
      <c r="DN26" s="7"/>
      <c r="DO26" s="7"/>
      <c r="DP26" s="7">
        <v>0.29899999999999999</v>
      </c>
      <c r="DQ26" s="7">
        <v>0.34384999999999993</v>
      </c>
      <c r="DR26" s="7">
        <v>0.39542749999999988</v>
      </c>
      <c r="DS26" s="7">
        <v>0.45474162499999982</v>
      </c>
      <c r="DT26" s="7">
        <v>0.5229528687499998</v>
      </c>
      <c r="DU26" s="78">
        <v>0.4172756416359773</v>
      </c>
      <c r="DV26" s="78">
        <v>0.2373941697037707</v>
      </c>
      <c r="DW26" s="6">
        <v>0.1996525488829537</v>
      </c>
      <c r="DX26" s="6">
        <v>0.17866243104681567</v>
      </c>
      <c r="DY26" s="171">
        <v>1.2465998679937957</v>
      </c>
      <c r="DZ26" s="132">
        <v>1.4174294305300676</v>
      </c>
      <c r="EA26" s="132">
        <v>1.6164539835348111</v>
      </c>
      <c r="EB26" s="132">
        <v>1.8184729170211367</v>
      </c>
      <c r="EC26" s="78">
        <v>5.2115629999999996E-2</v>
      </c>
      <c r="ED26" s="6">
        <v>0.16248570000000001</v>
      </c>
      <c r="EE26" s="194">
        <v>-0.1278871</v>
      </c>
      <c r="EF26" s="363">
        <v>6.6714863815466208E-2</v>
      </c>
      <c r="EG26" s="175">
        <v>2.7147189691002271E-2</v>
      </c>
      <c r="EH26" s="363">
        <v>9.3862053506468479E-2</v>
      </c>
      <c r="EI26" s="6">
        <v>1.8128433598073451E-2</v>
      </c>
      <c r="EJ26" s="363">
        <v>0.11199048710454193</v>
      </c>
      <c r="EK26" s="6">
        <v>8.7662061778411765E-2</v>
      </c>
      <c r="EL26" s="194">
        <v>0.1996525488829537</v>
      </c>
      <c r="EM26" s="6">
        <v>6.666406520632906E-2</v>
      </c>
      <c r="EN26" s="194">
        <v>9.2289573464782171E-2</v>
      </c>
    </row>
    <row r="27" spans="1:145" ht="15.75" x14ac:dyDescent="0.25">
      <c r="B27" s="10"/>
      <c r="C27" s="10"/>
      <c r="D27" s="161" t="s">
        <v>187</v>
      </c>
      <c r="E27" s="289">
        <v>1</v>
      </c>
      <c r="F27" s="151">
        <v>46139</v>
      </c>
      <c r="G27" s="63"/>
      <c r="H27" s="152">
        <v>324.3599853515625</v>
      </c>
      <c r="I27" s="64">
        <v>216.63013698630135</v>
      </c>
      <c r="J27" s="64">
        <v>-2798</v>
      </c>
      <c r="K27" s="86">
        <v>15249</v>
      </c>
      <c r="L27" s="63"/>
      <c r="M27" s="72">
        <v>12451</v>
      </c>
      <c r="N27" s="153">
        <v>82717.148059583691</v>
      </c>
      <c r="O27" s="154">
        <v>12479</v>
      </c>
      <c r="P27" s="154">
        <v>13376</v>
      </c>
      <c r="Q27" s="154">
        <v>15698</v>
      </c>
      <c r="R27" s="154">
        <v>17181</v>
      </c>
      <c r="S27" s="154">
        <v>17997.75423991619</v>
      </c>
      <c r="T27" s="154">
        <v>18981.819847379087</v>
      </c>
      <c r="U27" s="154">
        <v>20017.135073844478</v>
      </c>
      <c r="V27" s="154">
        <v>21106.284818834145</v>
      </c>
      <c r="W27" s="154">
        <v>22251.981449015017</v>
      </c>
      <c r="X27" s="65">
        <v>0.48</v>
      </c>
      <c r="Y27" s="65">
        <v>0.48</v>
      </c>
      <c r="Z27" s="65">
        <v>0.48</v>
      </c>
      <c r="AA27" s="65">
        <v>0.48</v>
      </c>
      <c r="AB27" s="65">
        <v>0.48</v>
      </c>
      <c r="AC27" s="65">
        <v>0.48</v>
      </c>
      <c r="AD27" s="65">
        <v>0.48</v>
      </c>
      <c r="AE27" s="65">
        <v>0.48</v>
      </c>
      <c r="AF27" s="65">
        <v>0.48</v>
      </c>
      <c r="AG27" s="155">
        <v>5989.92</v>
      </c>
      <c r="AH27" s="155">
        <v>6420.48</v>
      </c>
      <c r="AI27" s="155">
        <v>7535.04</v>
      </c>
      <c r="AJ27" s="155">
        <v>8246.8799999999992</v>
      </c>
      <c r="AK27" s="155">
        <v>8638.9220351597705</v>
      </c>
      <c r="AL27" s="155">
        <v>9111.2735267419612</v>
      </c>
      <c r="AM27" s="155">
        <v>9608.2248354453495</v>
      </c>
      <c r="AN27" s="155">
        <v>10131.01671304039</v>
      </c>
      <c r="AO27" s="155">
        <v>10680.951095527207</v>
      </c>
      <c r="AP27" s="156">
        <v>13.391181988742964</v>
      </c>
      <c r="AQ27" s="156">
        <v>14.141463414634146</v>
      </c>
      <c r="AR27" s="156">
        <v>15.604705882352942</v>
      </c>
      <c r="AS27" s="156">
        <v>17.081481760360358</v>
      </c>
      <c r="AT27" s="156">
        <v>19.260685159074111</v>
      </c>
      <c r="AU27" s="156">
        <v>22.130311396945057</v>
      </c>
      <c r="AV27" s="156">
        <v>25.20518776394821</v>
      </c>
      <c r="AW27" s="156">
        <v>28.526457452641594</v>
      </c>
      <c r="AX27" s="156">
        <v>32.114172919048045</v>
      </c>
      <c r="AY27" s="157">
        <v>13.391181988742964</v>
      </c>
      <c r="AZ27" s="157">
        <v>14.141463414634146</v>
      </c>
      <c r="BA27" s="157">
        <v>15.604705882352942</v>
      </c>
      <c r="BB27" s="157">
        <v>17.081481760360358</v>
      </c>
      <c r="BC27" s="157">
        <v>19.260685159074111</v>
      </c>
      <c r="BD27" s="157">
        <v>22.130311396945057</v>
      </c>
      <c r="BE27" s="157">
        <v>25.20518776394821</v>
      </c>
      <c r="BF27" s="157">
        <v>28.526457452641594</v>
      </c>
      <c r="BG27" s="157">
        <v>32.114172919048045</v>
      </c>
      <c r="BH27" s="158">
        <v>5.2692794024451324</v>
      </c>
      <c r="BI27" s="158">
        <v>4.8144548081941503</v>
      </c>
      <c r="BJ27" s="158">
        <v>4.5959705281523435</v>
      </c>
      <c r="BK27" s="158">
        <v>4.3577037778601007</v>
      </c>
      <c r="BL27" s="158">
        <v>4.1323170251104813</v>
      </c>
      <c r="BM27" s="158">
        <v>3.9190766527404781</v>
      </c>
      <c r="BN27" s="158">
        <v>3.7172935924429851</v>
      </c>
      <c r="BO27" s="158">
        <v>9.5749386003173829</v>
      </c>
      <c r="BP27" s="158">
        <v>9.078549537208545</v>
      </c>
      <c r="BQ27" s="158">
        <v>8.6089938023135026</v>
      </c>
      <c r="BR27" s="158">
        <v>8.1647430265426628</v>
      </c>
      <c r="BS27" s="158">
        <v>7.7443616509228859</v>
      </c>
      <c r="BT27" s="158">
        <v>16.840521646694885</v>
      </c>
      <c r="BU27" s="158">
        <v>14.65681975881904</v>
      </c>
      <c r="BV27" s="158">
        <v>12.868778776387654</v>
      </c>
      <c r="BW27" s="158">
        <v>11.3704965255518</v>
      </c>
      <c r="BX27" s="158">
        <v>10.100212954859353</v>
      </c>
      <c r="BY27" s="66">
        <v>16.840521646694885</v>
      </c>
      <c r="BZ27" s="158">
        <v>14.65681975881904</v>
      </c>
      <c r="CA27" s="158">
        <v>12.868778776387654</v>
      </c>
      <c r="CB27" s="158">
        <v>11.3704965255518</v>
      </c>
      <c r="CC27" s="158">
        <v>10.100212954859353</v>
      </c>
      <c r="CD27" s="63"/>
      <c r="CE27" s="67">
        <v>18</v>
      </c>
      <c r="CF27" s="67">
        <v>18</v>
      </c>
      <c r="CG27" s="169">
        <v>18</v>
      </c>
      <c r="CH27" s="67">
        <v>18</v>
      </c>
      <c r="CI27" s="67">
        <v>20</v>
      </c>
      <c r="CJ27" s="68"/>
      <c r="CK27" s="68"/>
      <c r="CL27" s="68"/>
      <c r="CM27" s="68"/>
      <c r="CN27" s="68"/>
      <c r="CO27" s="73">
        <v>398.34560514501101</v>
      </c>
      <c r="CP27" s="73">
        <v>453.69337975106777</v>
      </c>
      <c r="CQ27" s="73">
        <v>513.47623414754867</v>
      </c>
      <c r="CR27" s="73">
        <v>578.05511254286478</v>
      </c>
      <c r="CS27" s="69"/>
      <c r="CT27" s="69"/>
      <c r="CU27" s="69"/>
      <c r="CV27" s="69"/>
      <c r="CW27" s="69"/>
      <c r="CX27" s="69"/>
      <c r="CY27" s="74"/>
      <c r="CZ27" s="74"/>
      <c r="DA27" s="74"/>
      <c r="DB27" s="74"/>
      <c r="DC27" s="74"/>
      <c r="DD27" s="70">
        <v>210.03210601024631</v>
      </c>
      <c r="DE27" s="70">
        <v>199.47985647335042</v>
      </c>
      <c r="DF27" s="70">
        <v>189.20880423960901</v>
      </c>
      <c r="DG27" s="70">
        <v>179.58404845672956</v>
      </c>
      <c r="DH27" s="70">
        <v>170.48807407729049</v>
      </c>
      <c r="DI27" s="70"/>
      <c r="DJ27" s="70"/>
      <c r="DK27" s="70"/>
      <c r="DL27" s="70"/>
      <c r="DM27" s="70"/>
      <c r="DN27" s="69"/>
      <c r="DO27" s="69"/>
      <c r="DP27" s="69">
        <v>3.0487447831035794</v>
      </c>
      <c r="DQ27" s="69">
        <v>3.2011820222587586</v>
      </c>
      <c r="DR27" s="69">
        <v>3.3612411233716966</v>
      </c>
      <c r="DS27" s="69">
        <v>3.5293031795402814</v>
      </c>
      <c r="DT27" s="69">
        <v>3.7057683385172955</v>
      </c>
      <c r="DU27" s="77">
        <v>0.40420618484191184</v>
      </c>
      <c r="DV27" s="77">
        <v>0.23878918660319615</v>
      </c>
      <c r="DW27" s="71">
        <v>0.19914809936701272</v>
      </c>
      <c r="DX27" s="71">
        <v>0.17977209000697014</v>
      </c>
      <c r="DY27" s="166">
        <v>1.2374965102216824</v>
      </c>
      <c r="DZ27">
        <v>1.4180026123071672</v>
      </c>
      <c r="EA27">
        <v>1.6126755016014889</v>
      </c>
      <c r="EB27">
        <v>1.8226526401225562</v>
      </c>
      <c r="EC27" s="77">
        <v>-2.242311E-2</v>
      </c>
      <c r="ED27" s="71">
        <v>1.8505150000000002E-4</v>
      </c>
      <c r="EE27" s="195">
        <v>-5.75588E-2</v>
      </c>
      <c r="EF27" s="363">
        <v>5.438898531932912E-2</v>
      </c>
      <c r="EG27" s="71">
        <v>2.5780042000890901E-2</v>
      </c>
      <c r="EH27" s="363">
        <v>8.0169027320220021E-2</v>
      </c>
      <c r="EI27" s="71">
        <v>6.7508940828234276E-2</v>
      </c>
      <c r="EJ27" s="363">
        <v>0.1476779681484543</v>
      </c>
      <c r="EK27" s="71">
        <v>5.1470131218558424E-2</v>
      </c>
      <c r="EL27" s="195">
        <v>0.19914809936701272</v>
      </c>
      <c r="EM27" s="71">
        <v>5.4543483685594474E-2</v>
      </c>
      <c r="EN27" s="195">
        <v>0.13987887047550296</v>
      </c>
    </row>
    <row r="28" spans="1:145" x14ac:dyDescent="0.25">
      <c r="B28" s="9" t="s">
        <v>22</v>
      </c>
      <c r="C28" s="9"/>
      <c r="D28" s="38" t="s">
        <v>26</v>
      </c>
      <c r="F28" s="186">
        <v>46138</v>
      </c>
      <c r="H28" s="149">
        <v>146.19999694824219</v>
      </c>
      <c r="I28" s="25">
        <v>118.553</v>
      </c>
      <c r="J28" s="25">
        <v>-184</v>
      </c>
      <c r="K28" s="2">
        <v>1197</v>
      </c>
      <c r="M28" s="80">
        <v>1013</v>
      </c>
      <c r="N28" s="81">
        <v>18345.448238204957</v>
      </c>
      <c r="O28" s="3">
        <v>1861.1390759099791</v>
      </c>
      <c r="P28" s="3">
        <v>2236.1145301907227</v>
      </c>
      <c r="Q28" s="3">
        <v>2491.0170915262347</v>
      </c>
      <c r="R28" s="3">
        <v>2655.7864481056044</v>
      </c>
      <c r="S28" s="3">
        <v>2827.0571618315344</v>
      </c>
      <c r="T28" s="3">
        <v>3052.9133410166614</v>
      </c>
      <c r="U28" s="3">
        <v>3290.7753815638443</v>
      </c>
      <c r="V28" s="3">
        <v>3528.671449142962</v>
      </c>
      <c r="W28" s="3">
        <v>3772.9894518373644</v>
      </c>
      <c r="X28" s="21">
        <v>0.81859120343549729</v>
      </c>
      <c r="Y28" s="21">
        <v>0.82807767902335006</v>
      </c>
      <c r="Z28" s="21">
        <v>0.84503207492507315</v>
      </c>
      <c r="AA28" s="21">
        <v>0.85350513085115742</v>
      </c>
      <c r="AB28" s="21">
        <v>0.86080425998213328</v>
      </c>
      <c r="AC28" s="21">
        <v>0.86355093165376307</v>
      </c>
      <c r="AD28" s="21">
        <v>0.86611888108424273</v>
      </c>
      <c r="AE28" s="21">
        <v>0.8684173145299936</v>
      </c>
      <c r="AF28" s="21">
        <v>0.8705428562440235</v>
      </c>
      <c r="AG28" s="236">
        <v>1523.5120759099791</v>
      </c>
      <c r="AH28" s="236">
        <v>1851.6765301907226</v>
      </c>
      <c r="AI28" s="236">
        <v>2104.989341526235</v>
      </c>
      <c r="AJ28" s="236">
        <v>2266.7273599031046</v>
      </c>
      <c r="AK28" s="236">
        <v>2433.5428481175841</v>
      </c>
      <c r="AL28" s="236">
        <v>2636.3461598931403</v>
      </c>
      <c r="AM28" s="236">
        <v>2850.202691379649</v>
      </c>
      <c r="AN28" s="236">
        <v>3064.3593837233921</v>
      </c>
      <c r="AO28" s="236">
        <v>3284.5490139810718</v>
      </c>
      <c r="AP28" s="11"/>
      <c r="AQ28" s="11"/>
      <c r="AR28" s="11">
        <v>6.1778348845858249</v>
      </c>
      <c r="AS28" s="11">
        <v>7.3437059090604144</v>
      </c>
      <c r="AT28" s="11">
        <v>8.3307983935892373</v>
      </c>
      <c r="AU28" s="11">
        <v>9.6036501762115165</v>
      </c>
      <c r="AV28" s="11">
        <v>11.021448648764641</v>
      </c>
      <c r="AW28" s="11">
        <v>12.541703318992019</v>
      </c>
      <c r="AX28" s="11">
        <v>14.19794255871145</v>
      </c>
      <c r="AY28" s="11"/>
      <c r="AZ28" s="11"/>
      <c r="BA28" s="11">
        <v>4.7460841893077443</v>
      </c>
      <c r="BB28" s="11">
        <v>5.8959028703221747</v>
      </c>
      <c r="BC28" s="11">
        <v>6.7020629381102932</v>
      </c>
      <c r="BD28" s="11">
        <v>7.8675807525291557</v>
      </c>
      <c r="BE28" s="11">
        <v>9.1719798016971446</v>
      </c>
      <c r="BF28" s="11">
        <v>10.5749440645564</v>
      </c>
      <c r="BG28" s="11">
        <v>12.108709700491689</v>
      </c>
      <c r="BH28" s="5">
        <v>7.3646416560573602</v>
      </c>
      <c r="BI28" s="5">
        <v>6.9077271823910857</v>
      </c>
      <c r="BJ28" s="5">
        <v>6.4892385219121973</v>
      </c>
      <c r="BK28" s="5">
        <v>6.0091611483789036</v>
      </c>
      <c r="BL28" s="5">
        <v>5.5748102228377618</v>
      </c>
      <c r="BM28" s="5">
        <v>5.1989675158509501</v>
      </c>
      <c r="BN28" s="5">
        <v>4.8623110327729968</v>
      </c>
      <c r="BO28" s="5">
        <v>7.5385762171377806</v>
      </c>
      <c r="BP28" s="5">
        <v>6.9586644262787392</v>
      </c>
      <c r="BQ28" s="5">
        <v>6.4365416163875659</v>
      </c>
      <c r="BR28" s="5">
        <v>5.986715636438853</v>
      </c>
      <c r="BS28" s="5">
        <v>5.5853781326189331</v>
      </c>
      <c r="BT28" s="5">
        <v>17.549338015519236</v>
      </c>
      <c r="BU28" s="5">
        <v>15.22337801416208</v>
      </c>
      <c r="BV28" s="5">
        <v>13.265043607913491</v>
      </c>
      <c r="BW28" s="5">
        <v>11.657108546560032</v>
      </c>
      <c r="BX28" s="5">
        <v>10.297266406289133</v>
      </c>
      <c r="BY28" s="199">
        <v>21.814178454949662</v>
      </c>
      <c r="BZ28" s="5">
        <v>18.582586127412029</v>
      </c>
      <c r="CA28" s="5">
        <v>15.939851603379017</v>
      </c>
      <c r="CB28" s="5">
        <v>13.825131939775893</v>
      </c>
      <c r="CC28" s="5">
        <v>12.073953423980885</v>
      </c>
      <c r="CD28" t="s">
        <v>55</v>
      </c>
      <c r="CE28" s="12">
        <v>22</v>
      </c>
      <c r="CF28" s="12">
        <v>22</v>
      </c>
      <c r="CG28" s="167">
        <v>22</v>
      </c>
      <c r="CH28" s="12">
        <v>22</v>
      </c>
      <c r="CI28" s="82">
        <v>27</v>
      </c>
      <c r="CJ28" s="46">
        <v>212.87635928934341</v>
      </c>
      <c r="CK28" s="46">
        <v>248.99809651232238</v>
      </c>
      <c r="CL28" s="46">
        <v>289.89951222637353</v>
      </c>
      <c r="CM28" s="46">
        <v>335.02950344942121</v>
      </c>
      <c r="CN28" s="46">
        <v>384.35625684614109</v>
      </c>
      <c r="CO28" s="150">
        <v>173.08677655564142</v>
      </c>
      <c r="CP28" s="150">
        <v>201.78355563733717</v>
      </c>
      <c r="CQ28" s="150">
        <v>232.6487694202408</v>
      </c>
      <c r="CR28" s="150">
        <v>266.39161341081717</v>
      </c>
      <c r="CS28" s="7"/>
      <c r="CT28" s="7"/>
      <c r="CU28" s="7"/>
      <c r="CV28" s="7"/>
      <c r="CW28" s="7"/>
      <c r="CX28" s="7"/>
      <c r="CY28" s="41"/>
      <c r="CZ28" s="41"/>
      <c r="DA28" s="41"/>
      <c r="DB28" s="41"/>
      <c r="DC28" s="19"/>
      <c r="DD28" s="40">
        <v>119.26325507375057</v>
      </c>
      <c r="DE28" s="40">
        <v>115.58226575201832</v>
      </c>
      <c r="DF28" s="40">
        <v>111.99245174477619</v>
      </c>
      <c r="DG28" s="40">
        <v>108.44729147534846</v>
      </c>
      <c r="DH28" s="40">
        <v>104.98720138942893</v>
      </c>
      <c r="DI28" s="40"/>
      <c r="DJ28" s="40"/>
      <c r="DK28" s="40"/>
      <c r="DL28" s="40"/>
      <c r="DM28" s="40"/>
      <c r="DN28" s="7"/>
      <c r="DO28" s="7"/>
      <c r="DP28" s="7"/>
      <c r="DQ28" s="7"/>
      <c r="DR28" s="7"/>
      <c r="DS28" s="7"/>
      <c r="DT28" s="7"/>
      <c r="DU28" s="78">
        <v>0.31343756844927984</v>
      </c>
      <c r="DV28" s="78">
        <v>0.2201847175165712</v>
      </c>
      <c r="DW28" s="6">
        <v>0.19406859948830091</v>
      </c>
      <c r="DX28" s="6">
        <v>0.18031490050610888</v>
      </c>
      <c r="DY28" s="171">
        <v>1.1839041051205883</v>
      </c>
      <c r="DZ28" s="132">
        <v>1.3801885078614107</v>
      </c>
      <c r="EA28" s="132">
        <v>1.5913048856122975</v>
      </c>
      <c r="EB28" s="132">
        <v>1.8221040969318576</v>
      </c>
      <c r="EC28" s="78">
        <v>4.6228669999999999E-2</v>
      </c>
      <c r="ED28" s="6">
        <v>-5.3078170000000001E-2</v>
      </c>
      <c r="EE28" s="194">
        <v>-0.14970340000000001</v>
      </c>
      <c r="EF28" s="363">
        <v>7.5941897834039596E-2</v>
      </c>
      <c r="EG28" s="188">
        <v>4.9662929831570946E-2</v>
      </c>
      <c r="EH28" s="188">
        <v>0.12560482766561054</v>
      </c>
      <c r="EI28" s="188">
        <v>3.5816723762503999E-2</v>
      </c>
      <c r="EJ28" s="188">
        <v>0.16142155142811454</v>
      </c>
      <c r="EK28" s="188">
        <v>3.2647048060186368E-2</v>
      </c>
      <c r="EL28" s="194">
        <v>0.19406859948830091</v>
      </c>
      <c r="EM28" s="6"/>
      <c r="EN28" s="235"/>
      <c r="EO28">
        <v>135.03111999999999</v>
      </c>
    </row>
    <row r="29" spans="1:145" x14ac:dyDescent="0.25">
      <c r="B29" s="10" t="s">
        <v>20</v>
      </c>
      <c r="C29" s="10"/>
      <c r="D29" s="38" t="s">
        <v>101</v>
      </c>
      <c r="E29">
        <v>1</v>
      </c>
      <c r="F29" s="143">
        <v>46057</v>
      </c>
      <c r="G29" s="147"/>
      <c r="H29" s="149">
        <v>416.6099853515625</v>
      </c>
      <c r="I29" s="39">
        <v>304.10249999999996</v>
      </c>
      <c r="J29" s="25">
        <v>-1847</v>
      </c>
      <c r="K29" s="2">
        <v>11388</v>
      </c>
      <c r="L29" s="2"/>
      <c r="M29" s="23">
        <v>9541</v>
      </c>
      <c r="N29" s="23">
        <v>136233.1380703735</v>
      </c>
      <c r="O29" s="3">
        <v>11843</v>
      </c>
      <c r="P29" s="3">
        <v>12497</v>
      </c>
      <c r="Q29" s="3">
        <v>14208</v>
      </c>
      <c r="R29" s="3">
        <v>15336</v>
      </c>
      <c r="S29" s="3">
        <v>16719.28528578785</v>
      </c>
      <c r="T29" s="3">
        <v>18035.782444580334</v>
      </c>
      <c r="U29" s="3">
        <v>19461.908243850739</v>
      </c>
      <c r="V29" s="3">
        <v>21007.252143631718</v>
      </c>
      <c r="W29" s="3">
        <v>22682.276235256446</v>
      </c>
      <c r="X29" s="4">
        <v>0.7</v>
      </c>
      <c r="Y29" s="4">
        <v>0.7</v>
      </c>
      <c r="Z29" s="4">
        <v>0.7</v>
      </c>
      <c r="AA29" s="4">
        <v>0.7</v>
      </c>
      <c r="AB29" s="4">
        <v>0.7</v>
      </c>
      <c r="AC29" s="4">
        <v>0.7</v>
      </c>
      <c r="AD29" s="4">
        <v>0.7</v>
      </c>
      <c r="AE29" s="4">
        <v>0.7</v>
      </c>
      <c r="AF29" s="4">
        <v>0.7</v>
      </c>
      <c r="AG29" s="3">
        <v>8290.1</v>
      </c>
      <c r="AH29" s="3">
        <v>8747.9</v>
      </c>
      <c r="AI29" s="3">
        <v>9945.5999999999985</v>
      </c>
      <c r="AJ29" s="3">
        <v>10735.199999999999</v>
      </c>
      <c r="AK29" s="3">
        <v>11703.499700051494</v>
      </c>
      <c r="AL29" s="3">
        <v>12625.047711206233</v>
      </c>
      <c r="AM29" s="3">
        <v>13623.335770695518</v>
      </c>
      <c r="AN29" s="3">
        <v>14705.076500542202</v>
      </c>
      <c r="AO29" s="3">
        <v>15877.593364679511</v>
      </c>
      <c r="AP29" s="11">
        <v>11.773940345368917</v>
      </c>
      <c r="AQ29" s="11">
        <v>12.599560990906241</v>
      </c>
      <c r="AR29" s="11">
        <v>15.703751202308434</v>
      </c>
      <c r="AS29" s="11">
        <v>18.021314314471585</v>
      </c>
      <c r="AT29" s="11">
        <v>20.193226708023271</v>
      </c>
      <c r="AU29" s="11">
        <v>22.779020612762764</v>
      </c>
      <c r="AV29" s="11">
        <v>25.648625528291657</v>
      </c>
      <c r="AW29" s="11">
        <v>28.872376511637928</v>
      </c>
      <c r="AX29" s="11">
        <v>32.492214178098571</v>
      </c>
      <c r="AY29" s="11">
        <v>11.773940345368917</v>
      </c>
      <c r="AZ29" s="11">
        <v>12.599560990906241</v>
      </c>
      <c r="BA29" s="11">
        <v>15.703751202308434</v>
      </c>
      <c r="BB29" s="18">
        <v>18.021314314471585</v>
      </c>
      <c r="BC29" s="18">
        <v>20.193226708023271</v>
      </c>
      <c r="BD29" s="18">
        <v>22.779020612762764</v>
      </c>
      <c r="BE29" s="18">
        <v>25.648625528291657</v>
      </c>
      <c r="BF29" s="18">
        <v>28.872376511637928</v>
      </c>
      <c r="BG29" s="18">
        <v>32.492214178098571</v>
      </c>
      <c r="BH29" s="5">
        <v>9.5884810015747117</v>
      </c>
      <c r="BI29" s="5">
        <v>8.8832249654651481</v>
      </c>
      <c r="BJ29" s="5">
        <v>8.1482632625557176</v>
      </c>
      <c r="BK29" s="5">
        <v>7.5534919812315051</v>
      </c>
      <c r="BL29" s="5">
        <v>6.9999887145402742</v>
      </c>
      <c r="BM29" s="5">
        <v>6.4850527398307136</v>
      </c>
      <c r="BN29" s="5">
        <v>6.0061493237005035</v>
      </c>
      <c r="BO29" s="5">
        <v>10.476338480428781</v>
      </c>
      <c r="BP29" s="5">
        <v>9.7116325472976506</v>
      </c>
      <c r="BQ29" s="5">
        <v>8.9999854901232101</v>
      </c>
      <c r="BR29" s="5">
        <v>8.337924951210919</v>
      </c>
      <c r="BS29" s="5">
        <v>7.7221919876149343</v>
      </c>
      <c r="BT29" s="5">
        <v>20.631174570334171</v>
      </c>
      <c r="BU29" s="5">
        <v>18.289196556507868</v>
      </c>
      <c r="BV29" s="5">
        <v>16.242975082310817</v>
      </c>
      <c r="BW29" s="5">
        <v>14.429362445576125</v>
      </c>
      <c r="BX29" s="5">
        <v>12.821840428233394</v>
      </c>
      <c r="BY29" s="8">
        <v>20.631174570334171</v>
      </c>
      <c r="BZ29" s="5">
        <v>18.289196556507868</v>
      </c>
      <c r="CA29" s="5">
        <v>16.242975082310817</v>
      </c>
      <c r="CB29" s="5">
        <v>14.429362445576125</v>
      </c>
      <c r="CC29" s="5">
        <v>12.821840428233394</v>
      </c>
      <c r="CE29" s="12">
        <v>22</v>
      </c>
      <c r="CF29" s="12">
        <v>22</v>
      </c>
      <c r="CG29" s="167">
        <v>22</v>
      </c>
      <c r="CH29" s="12">
        <v>22</v>
      </c>
      <c r="CI29" s="12">
        <v>24.5</v>
      </c>
      <c r="CJ29" s="46"/>
      <c r="CK29" s="46"/>
      <c r="CL29" s="46"/>
      <c r="CM29" s="46"/>
      <c r="CN29" s="46"/>
      <c r="CO29" s="43">
        <v>501.13845348078081</v>
      </c>
      <c r="CP29" s="43">
        <v>564.26976162241647</v>
      </c>
      <c r="CQ29" s="43">
        <v>635.19228325603444</v>
      </c>
      <c r="CR29" s="43">
        <v>714.82871191816855</v>
      </c>
      <c r="CS29" s="7"/>
      <c r="CT29" s="7"/>
      <c r="CU29" s="7"/>
      <c r="CV29" s="7"/>
      <c r="CW29" s="7"/>
      <c r="CX29" s="7"/>
      <c r="CY29" s="19"/>
      <c r="CZ29" s="19"/>
      <c r="DA29" s="19"/>
      <c r="DB29" s="19"/>
      <c r="DC29" s="19"/>
      <c r="DD29" s="40">
        <v>293.77508929681261</v>
      </c>
      <c r="DE29" s="40">
        <v>283.34014036321844</v>
      </c>
      <c r="DF29" s="40">
        <v>273.34106730260805</v>
      </c>
      <c r="DG29" s="40">
        <v>263.77858512867772</v>
      </c>
      <c r="DH29" s="40">
        <v>254.64131882533576</v>
      </c>
      <c r="DI29" s="40"/>
      <c r="DJ29" s="40"/>
      <c r="DK29" s="40"/>
      <c r="DL29" s="40"/>
      <c r="DM29" s="40"/>
      <c r="DN29" s="7"/>
      <c r="DO29" s="7"/>
      <c r="DP29" s="7">
        <v>4.0704000000000002</v>
      </c>
      <c r="DQ29" s="7">
        <v>4.3146240000000002</v>
      </c>
      <c r="DR29" s="7">
        <v>4.5735014400000003</v>
      </c>
      <c r="DS29" s="7">
        <v>4.8479115264000008</v>
      </c>
      <c r="DT29" s="7">
        <v>5.1387862179840011</v>
      </c>
      <c r="DU29" s="78">
        <v>0.35859649105050195</v>
      </c>
      <c r="DV29" s="78">
        <v>0.2150725613655744</v>
      </c>
      <c r="DW29" s="6">
        <v>0.18273634602821276</v>
      </c>
      <c r="DX29" s="6">
        <v>0.16811189467871901</v>
      </c>
      <c r="DY29" s="171">
        <v>1.212666213591719</v>
      </c>
      <c r="DZ29" s="132">
        <v>1.3745584737705534</v>
      </c>
      <c r="EA29" s="132">
        <v>1.5557735807726325</v>
      </c>
      <c r="EB29" s="132">
        <v>1.7585635837948614</v>
      </c>
      <c r="EC29" s="78">
        <v>-5.8589620000000002E-2</v>
      </c>
      <c r="ED29" s="6">
        <v>-7.2031650000000007E-5</v>
      </c>
      <c r="EE29" s="194">
        <v>-0.15110020000000002</v>
      </c>
      <c r="EF29" s="363">
        <v>7.8839712562133624E-2</v>
      </c>
      <c r="EG29" s="175">
        <v>7.4883844856739046E-3</v>
      </c>
      <c r="EH29" s="363">
        <v>8.6328097047807528E-2</v>
      </c>
      <c r="EI29" s="6">
        <v>4.9953423656813878E-2</v>
      </c>
      <c r="EJ29" s="363">
        <v>0.13628152070462141</v>
      </c>
      <c r="EK29" s="6">
        <v>4.6454825323591353E-2</v>
      </c>
      <c r="EL29" s="194">
        <v>0.18273634602821276</v>
      </c>
      <c r="EM29" s="6">
        <v>7.907222304294681E-2</v>
      </c>
      <c r="EN29" s="194">
        <v>0.12657195884134897</v>
      </c>
      <c r="EO29">
        <v>82.415167999999994</v>
      </c>
    </row>
    <row r="30" spans="1:145" x14ac:dyDescent="0.25">
      <c r="B30" s="10" t="s">
        <v>139</v>
      </c>
      <c r="C30" s="10"/>
      <c r="D30" s="38" t="s">
        <v>137</v>
      </c>
      <c r="E30" s="307">
        <v>2</v>
      </c>
      <c r="F30" s="186">
        <v>46068</v>
      </c>
      <c r="G30" s="147"/>
      <c r="H30" s="225">
        <v>132.47500610351563</v>
      </c>
      <c r="I30" s="25">
        <v>608</v>
      </c>
      <c r="J30" s="25">
        <v>-11014</v>
      </c>
      <c r="K30" s="2">
        <v>1999</v>
      </c>
      <c r="L30" s="2"/>
      <c r="M30" s="80">
        <v>-9015</v>
      </c>
      <c r="N30" s="184">
        <v>71529.8037109375</v>
      </c>
      <c r="O30" s="3">
        <v>8399</v>
      </c>
      <c r="P30" s="3">
        <v>9917</v>
      </c>
      <c r="Q30" s="3">
        <v>11102</v>
      </c>
      <c r="R30" s="3">
        <v>12241</v>
      </c>
      <c r="S30" s="3">
        <v>13606.372766707706</v>
      </c>
      <c r="T30" s="3">
        <v>15272.942611510176</v>
      </c>
      <c r="U30" s="3">
        <v>17277.306592194524</v>
      </c>
      <c r="V30" s="3">
        <v>19431.570083493669</v>
      </c>
      <c r="W30" s="3">
        <v>21648.865444872594</v>
      </c>
      <c r="X30" s="4">
        <v>0.82154077866412667</v>
      </c>
      <c r="Y30" s="4">
        <v>0.82827467984269432</v>
      </c>
      <c r="Z30" s="4">
        <v>0.83084128985768335</v>
      </c>
      <c r="AA30" s="4">
        <v>0.82958908585899849</v>
      </c>
      <c r="AB30" s="4">
        <v>0.82958908585899849</v>
      </c>
      <c r="AC30" s="4">
        <v>0.82958908585899838</v>
      </c>
      <c r="AD30" s="4">
        <v>0.82958908585899849</v>
      </c>
      <c r="AE30" s="4">
        <v>0.82958908585899849</v>
      </c>
      <c r="AF30" s="4">
        <v>0.82958908585899838</v>
      </c>
      <c r="AG30" s="236">
        <v>6900.1210000000001</v>
      </c>
      <c r="AH30" s="236">
        <v>8214</v>
      </c>
      <c r="AI30" s="236">
        <v>9224</v>
      </c>
      <c r="AJ30" s="236">
        <v>10155</v>
      </c>
      <c r="AK30" s="236">
        <v>11287.698345389817</v>
      </c>
      <c r="AL30" s="236">
        <v>12670.266499459671</v>
      </c>
      <c r="AM30" s="236">
        <v>14333.064981924303</v>
      </c>
      <c r="AN30" s="236">
        <v>16120.218462370576</v>
      </c>
      <c r="AO30" s="236">
        <v>17959.662494296314</v>
      </c>
      <c r="AP30" s="148">
        <v>2.4164705882352941</v>
      </c>
      <c r="AQ30" s="148">
        <v>3.7788519637462232</v>
      </c>
      <c r="AR30" s="148">
        <v>4.1484186046511624</v>
      </c>
      <c r="AS30" s="148">
        <v>4.2619582664526483</v>
      </c>
      <c r="AT30" s="148">
        <v>4.9188101052054396</v>
      </c>
      <c r="AU30" s="148">
        <v>5.6859833534431905</v>
      </c>
      <c r="AV30" s="148">
        <v>6.9655912241271309</v>
      </c>
      <c r="AW30" s="11">
        <v>8.5476450768562113</v>
      </c>
      <c r="AX30" s="11">
        <v>10.23047230470873</v>
      </c>
      <c r="AY30" s="148">
        <v>2.4164705882352941</v>
      </c>
      <c r="AZ30" s="148">
        <v>3.7788519637462232</v>
      </c>
      <c r="BA30" s="148">
        <v>4.1484186046511624</v>
      </c>
      <c r="BB30" s="148">
        <v>4.2619582664526483</v>
      </c>
      <c r="BC30" s="148">
        <v>4.9188101052054396</v>
      </c>
      <c r="BD30" s="148">
        <v>5.6859833534431905</v>
      </c>
      <c r="BE30" s="148">
        <v>6.9655912241271309</v>
      </c>
      <c r="BF30" s="11">
        <v>8.5476450768562113</v>
      </c>
      <c r="BG30" s="11">
        <v>10.23047230470873</v>
      </c>
      <c r="BH30" s="5">
        <v>6.4429655657482883</v>
      </c>
      <c r="BI30" s="5">
        <v>5.8434608047494079</v>
      </c>
      <c r="BJ30" s="5">
        <v>5.2570809970720331</v>
      </c>
      <c r="BK30" s="5">
        <v>4.6834330181421855</v>
      </c>
      <c r="BL30" s="5">
        <v>4.1401015447195322</v>
      </c>
      <c r="BM30" s="5">
        <v>3.6811129210654556</v>
      </c>
      <c r="BN30" s="5">
        <v>3.304090179371451</v>
      </c>
      <c r="BO30" s="229">
        <v>6.3369698163622603</v>
      </c>
      <c r="BP30" s="229">
        <v>5.6454853348181686</v>
      </c>
      <c r="BQ30" s="5">
        <v>4.9905448556289302</v>
      </c>
      <c r="BR30" s="5">
        <v>4.4372726013552182</v>
      </c>
      <c r="BS30" s="5">
        <v>3.982803336847458</v>
      </c>
      <c r="BT30" s="5">
        <v>26.932327792715768</v>
      </c>
      <c r="BU30" s="5">
        <v>23.298521622173652</v>
      </c>
      <c r="BV30" s="5">
        <v>19.018486994277541</v>
      </c>
      <c r="BW30" s="5">
        <v>15.498421484790919</v>
      </c>
      <c r="BX30" s="5">
        <v>12.949060625729077</v>
      </c>
      <c r="BY30" s="8">
        <v>26.932327792715768</v>
      </c>
      <c r="BZ30" s="5">
        <v>23.298521622173652</v>
      </c>
      <c r="CA30" s="5">
        <v>19.018486994277541</v>
      </c>
      <c r="CB30" s="5">
        <v>15.498421484790919</v>
      </c>
      <c r="CC30" s="5">
        <v>12.949060625729077</v>
      </c>
      <c r="CE30" s="12">
        <v>24</v>
      </c>
      <c r="CF30" s="12">
        <v>24</v>
      </c>
      <c r="CG30" s="167">
        <v>24</v>
      </c>
      <c r="CH30" s="12">
        <v>24</v>
      </c>
      <c r="CI30" s="12">
        <v>23</v>
      </c>
      <c r="CJ30" s="46"/>
      <c r="CK30" s="46"/>
      <c r="CL30" s="46"/>
      <c r="CM30" s="46"/>
      <c r="CN30" s="46"/>
      <c r="CO30" s="136">
        <v>136.46360048263656</v>
      </c>
      <c r="CP30" s="136">
        <v>167.17418937905114</v>
      </c>
      <c r="CQ30" s="136">
        <v>205.14348184454906</v>
      </c>
      <c r="CR30" s="136">
        <v>245.53133531300952</v>
      </c>
      <c r="CS30" s="7"/>
      <c r="CT30" s="7"/>
      <c r="CU30" s="7"/>
      <c r="CV30" s="7"/>
      <c r="CW30" s="7"/>
      <c r="CX30" s="7"/>
      <c r="CY30" s="137"/>
      <c r="CZ30" s="137"/>
      <c r="DA30" s="137"/>
      <c r="DB30" s="137"/>
      <c r="DC30" s="101"/>
      <c r="DD30" s="185">
        <v>602.94313879849369</v>
      </c>
      <c r="DE30" s="185">
        <v>586.00672415356576</v>
      </c>
      <c r="DF30" s="185">
        <v>568.5200176318607</v>
      </c>
      <c r="DG30" s="185">
        <v>550.47102700725986</v>
      </c>
      <c r="DH30" s="185">
        <v>532.3178500555988</v>
      </c>
      <c r="DI30" s="40"/>
      <c r="DJ30" s="40"/>
      <c r="DK30" s="40"/>
      <c r="DL30" s="40"/>
      <c r="DM30" s="40"/>
      <c r="DN30" s="7"/>
      <c r="DO30" s="7"/>
      <c r="DP30" s="7"/>
      <c r="DQ30" s="7"/>
      <c r="DR30" s="7"/>
      <c r="DS30" s="7"/>
      <c r="DT30" s="7"/>
      <c r="DU30" s="78">
        <v>4.9074708602165229E-2</v>
      </c>
      <c r="DV30" s="78">
        <v>0.15451376171808673</v>
      </c>
      <c r="DW30" s="6">
        <v>0.1817149722915874</v>
      </c>
      <c r="DX30" s="6">
        <v>0.18588478123141727</v>
      </c>
      <c r="DY30" s="172">
        <v>1.0301082785080551</v>
      </c>
      <c r="DZ30" s="138">
        <v>1.2619300371907261</v>
      </c>
      <c r="EA30" s="138">
        <v>1.5485448000979933</v>
      </c>
      <c r="EB30" s="138">
        <v>1.8534162974195447</v>
      </c>
      <c r="EC30" s="78">
        <v>-6.4111639999999998E-2</v>
      </c>
      <c r="ED30" s="6">
        <v>5.297673E-2</v>
      </c>
      <c r="EE30" s="194">
        <v>0.1575935</v>
      </c>
      <c r="EF30" s="363">
        <v>0.12597821450816693</v>
      </c>
      <c r="EG30" s="175">
        <v>4.5971945491740884E-2</v>
      </c>
      <c r="EH30" s="363">
        <v>0.17195015999990781</v>
      </c>
      <c r="EI30" s="6">
        <v>3.602890268448844E-2</v>
      </c>
      <c r="EJ30" s="363">
        <v>0.20797906268439625</v>
      </c>
      <c r="EK30" s="6">
        <v>-2.6264090392808859E-2</v>
      </c>
      <c r="EL30" s="194">
        <v>0.1817149722915874</v>
      </c>
      <c r="EM30" s="6">
        <v>0.12612995141667538</v>
      </c>
      <c r="EN30" s="194">
        <v>0.20225190723405673</v>
      </c>
      <c r="EO30">
        <v>216.91073600000001</v>
      </c>
    </row>
    <row r="31" spans="1:145" x14ac:dyDescent="0.25">
      <c r="B31" s="10" t="s">
        <v>77</v>
      </c>
      <c r="C31" s="10"/>
      <c r="D31" s="142" t="s">
        <v>41</v>
      </c>
      <c r="E31" s="290">
        <v>1</v>
      </c>
      <c r="F31" s="232">
        <v>45995</v>
      </c>
      <c r="H31" s="149">
        <v>589.3599853515625</v>
      </c>
      <c r="I31" s="25">
        <v>73.400000000000006</v>
      </c>
      <c r="J31" s="25">
        <v>-385.3</v>
      </c>
      <c r="K31" s="2">
        <v>6403.8</v>
      </c>
      <c r="M31" s="80">
        <v>6018.5</v>
      </c>
      <c r="N31" s="81">
        <v>49277.522924804689</v>
      </c>
      <c r="O31" s="3">
        <v>2248.598</v>
      </c>
      <c r="P31" s="3">
        <v>2528.92</v>
      </c>
      <c r="Q31" s="3">
        <v>2856.1280000000002</v>
      </c>
      <c r="R31" s="3">
        <v>3134.4589999999998</v>
      </c>
      <c r="S31" s="3">
        <v>3521.8780666409402</v>
      </c>
      <c r="T31" s="3">
        <v>3909.2528352707986</v>
      </c>
      <c r="U31" s="3">
        <v>4325.7772625407351</v>
      </c>
      <c r="V31" s="3">
        <v>4796.6951942582282</v>
      </c>
      <c r="W31" s="3">
        <v>5311.7210425429166</v>
      </c>
      <c r="X31" s="21">
        <v>0.82</v>
      </c>
      <c r="Y31" s="21">
        <v>0.82</v>
      </c>
      <c r="Z31" s="21">
        <v>0.82</v>
      </c>
      <c r="AA31" s="21">
        <v>0.82</v>
      </c>
      <c r="AB31" s="21">
        <v>0.82</v>
      </c>
      <c r="AC31" s="21">
        <v>0.82</v>
      </c>
      <c r="AD31" s="21">
        <v>0.82</v>
      </c>
      <c r="AE31" s="21">
        <v>0.82</v>
      </c>
      <c r="AF31" s="21">
        <v>0.82</v>
      </c>
      <c r="AG31" s="144">
        <v>1843.8503599999999</v>
      </c>
      <c r="AH31" s="144">
        <v>2073.7143999999998</v>
      </c>
      <c r="AI31" s="144">
        <v>2342.0249600000002</v>
      </c>
      <c r="AJ31" s="144">
        <v>2570.2563799999998</v>
      </c>
      <c r="AK31" s="144">
        <v>2887.940014645571</v>
      </c>
      <c r="AL31" s="144">
        <v>3205.5873249220549</v>
      </c>
      <c r="AM31" s="144">
        <v>3547.1373552834025</v>
      </c>
      <c r="AN31" s="144">
        <v>3933.2900592917467</v>
      </c>
      <c r="AO31" s="144">
        <v>4355.6112548851916</v>
      </c>
      <c r="AP31" s="11">
        <v>11.454571199901498</v>
      </c>
      <c r="AQ31" s="11">
        <v>13.519832671618046</v>
      </c>
      <c r="AR31" s="11">
        <v>15.2008358662614</v>
      </c>
      <c r="AS31" s="11">
        <v>17.283991857612609</v>
      </c>
      <c r="AT31" s="11">
        <v>20.298700910477642</v>
      </c>
      <c r="AU31" s="11">
        <v>23.825327060676493</v>
      </c>
      <c r="AV31" s="11">
        <v>27.806702027207344</v>
      </c>
      <c r="AW31" s="11">
        <v>32.506075611867296</v>
      </c>
      <c r="AX31" s="11">
        <v>37.877281451960791</v>
      </c>
      <c r="AY31" s="145">
        <v>11.454571199901498</v>
      </c>
      <c r="AZ31" s="145">
        <v>13.519832671618046</v>
      </c>
      <c r="BA31" s="145">
        <v>15.2008358662614</v>
      </c>
      <c r="BB31" s="145">
        <v>17.283991857612609</v>
      </c>
      <c r="BC31" s="145">
        <v>20.298700910477642</v>
      </c>
      <c r="BD31" s="145">
        <v>23.825327060676493</v>
      </c>
      <c r="BE31" s="145">
        <v>27.806702027207344</v>
      </c>
      <c r="BF31" s="145">
        <v>32.506075611867296</v>
      </c>
      <c r="BG31" s="145">
        <v>37.877281451960791</v>
      </c>
      <c r="BH31" s="5">
        <v>17.25326138212457</v>
      </c>
      <c r="BI31" s="5">
        <v>15.721221086255936</v>
      </c>
      <c r="BJ31" s="5">
        <v>13.991831060694297</v>
      </c>
      <c r="BK31" s="5">
        <v>12.605355806153986</v>
      </c>
      <c r="BL31" s="5">
        <v>11.391599690424572</v>
      </c>
      <c r="BM31" s="5">
        <v>10.273223736165516</v>
      </c>
      <c r="BN31" s="5">
        <v>9.27712930143141</v>
      </c>
      <c r="BO31" s="5">
        <v>17.063208610602803</v>
      </c>
      <c r="BP31" s="5">
        <v>15.372385129456079</v>
      </c>
      <c r="BQ31" s="5">
        <v>13.892194744420211</v>
      </c>
      <c r="BR31" s="5">
        <v>12.528321629470142</v>
      </c>
      <c r="BS31" s="5">
        <v>11.313572318818792</v>
      </c>
      <c r="BT31" s="5">
        <v>29.034369635317439</v>
      </c>
      <c r="BU31" s="5">
        <v>24.736700732402383</v>
      </c>
      <c r="BV31" s="5">
        <v>21.194889806597914</v>
      </c>
      <c r="BW31" s="5">
        <v>18.130763995897411</v>
      </c>
      <c r="BX31" s="5">
        <v>15.559722418279655</v>
      </c>
      <c r="BY31" s="8">
        <v>29.034369635317439</v>
      </c>
      <c r="BZ31" s="5">
        <v>24.736700732402383</v>
      </c>
      <c r="CA31" s="5">
        <v>21.194889806597914</v>
      </c>
      <c r="CB31" s="5">
        <v>18.130763995897411</v>
      </c>
      <c r="CC31" s="5">
        <v>15.559722418279655</v>
      </c>
      <c r="CD31" t="s">
        <v>31</v>
      </c>
      <c r="CE31" s="82">
        <v>27</v>
      </c>
      <c r="CF31" s="82">
        <v>27</v>
      </c>
      <c r="CG31" s="168">
        <v>27</v>
      </c>
      <c r="CH31" s="82">
        <v>27</v>
      </c>
      <c r="CI31" s="82">
        <v>27</v>
      </c>
      <c r="CJ31" s="46"/>
      <c r="CK31" s="46"/>
      <c r="CL31" s="46"/>
      <c r="CM31" s="46"/>
      <c r="CN31" s="46"/>
      <c r="CO31" s="140">
        <v>643.28383063826527</v>
      </c>
      <c r="CP31" s="140">
        <v>750.78095473459825</v>
      </c>
      <c r="CQ31" s="140">
        <v>877.66404152041696</v>
      </c>
      <c r="CR31" s="140">
        <v>1022.6865992029414</v>
      </c>
      <c r="CS31" s="7"/>
      <c r="CT31" s="7"/>
      <c r="CU31" s="7"/>
      <c r="CV31" s="7"/>
      <c r="CW31" s="7"/>
      <c r="CX31" s="7"/>
      <c r="CY31" s="41"/>
      <c r="CZ31" s="41"/>
      <c r="DA31" s="41"/>
      <c r="DB31" s="41"/>
      <c r="DC31" s="19"/>
      <c r="DD31" s="60">
        <v>73.579139850055498</v>
      </c>
      <c r="DE31" s="60">
        <v>71.114173513098464</v>
      </c>
      <c r="DF31" s="60">
        <v>68.477416346339652</v>
      </c>
      <c r="DG31" s="60">
        <v>65.921357809964348</v>
      </c>
      <c r="DH31" s="60">
        <v>63.434976870744357</v>
      </c>
      <c r="DI31" s="40"/>
      <c r="DJ31" s="40"/>
      <c r="DK31" s="40"/>
      <c r="DL31" s="40"/>
      <c r="DM31" s="40"/>
      <c r="DN31" s="7"/>
      <c r="DO31" s="7"/>
      <c r="DP31" s="7">
        <v>8.1999999999999993</v>
      </c>
      <c r="DQ31" s="7">
        <v>9.6246396633542055</v>
      </c>
      <c r="DR31" s="7">
        <v>11.232982722820703</v>
      </c>
      <c r="DS31" s="7">
        <v>13.131373342208613</v>
      </c>
      <c r="DT31" s="7">
        <v>15.301161846557303</v>
      </c>
      <c r="DU31" s="96">
        <v>0.16659861142305221</v>
      </c>
      <c r="DV31" s="96">
        <v>0.17525241012406245</v>
      </c>
      <c r="DW31" s="95">
        <v>0.17722652311093978</v>
      </c>
      <c r="DX31" s="95">
        <v>0.17661828565001003</v>
      </c>
      <c r="DY31" s="171">
        <v>1.1054089976088977</v>
      </c>
      <c r="DZ31" s="132">
        <v>1.3041360348539224</v>
      </c>
      <c r="EA31" s="132">
        <v>1.5384852830918239</v>
      </c>
      <c r="EB31" s="132">
        <v>1.8068338899800092</v>
      </c>
      <c r="EC31" s="96">
        <v>3.66019E-2</v>
      </c>
      <c r="ED31" s="95">
        <v>8.9148440000000009E-2</v>
      </c>
      <c r="EE31" s="231">
        <v>5.3199610000000001E-2</v>
      </c>
      <c r="EF31" s="363">
        <v>0.10769772398320487</v>
      </c>
      <c r="EG31" s="175">
        <v>1.8400271273495417E-2</v>
      </c>
      <c r="EH31" s="363">
        <v>0.12609799525670029</v>
      </c>
      <c r="EI31" s="6">
        <v>5.962590549899191E-2</v>
      </c>
      <c r="EJ31" s="363">
        <v>0.1857239007556922</v>
      </c>
      <c r="EK31" s="6">
        <v>-8.4973776447524185E-3</v>
      </c>
      <c r="EL31" s="231">
        <v>0.17722652311093978</v>
      </c>
      <c r="EM31" s="6">
        <v>0.10846657567527629</v>
      </c>
      <c r="EN31" s="194">
        <v>0.16994496367415612</v>
      </c>
      <c r="EO31">
        <v>207.39345599999999</v>
      </c>
    </row>
    <row r="32" spans="1:145" x14ac:dyDescent="0.25">
      <c r="B32" s="10" t="s">
        <v>174</v>
      </c>
      <c r="C32" s="10"/>
      <c r="D32" s="142" t="s">
        <v>134</v>
      </c>
      <c r="E32" s="290">
        <v>1</v>
      </c>
      <c r="F32" s="186">
        <v>46120</v>
      </c>
      <c r="G32" s="147"/>
      <c r="H32" s="322">
        <v>260.35501098632813</v>
      </c>
      <c r="I32" s="3">
        <v>10827</v>
      </c>
      <c r="J32" s="25">
        <v>-123329</v>
      </c>
      <c r="K32" s="25">
        <v>178547</v>
      </c>
      <c r="L32" s="3"/>
      <c r="M32" s="76">
        <v>55218</v>
      </c>
      <c r="N32" s="76">
        <v>2874081.7039489746</v>
      </c>
      <c r="O32" s="3">
        <v>513983</v>
      </c>
      <c r="P32" s="3">
        <v>574785</v>
      </c>
      <c r="Q32" s="226">
        <v>637959</v>
      </c>
      <c r="R32" s="226">
        <v>716924</v>
      </c>
      <c r="S32" s="226">
        <v>817469.17501926073</v>
      </c>
      <c r="T32" s="226">
        <v>928320.73608933319</v>
      </c>
      <c r="U32" s="226">
        <v>1044416.014692727</v>
      </c>
      <c r="V32" s="226">
        <v>1153879.6805496779</v>
      </c>
      <c r="W32" s="226">
        <v>1265800.990084115</v>
      </c>
      <c r="X32" s="21">
        <v>0.43805339865326287</v>
      </c>
      <c r="Y32" s="21">
        <v>0.46982088955000567</v>
      </c>
      <c r="Z32" s="21">
        <v>0.48854393464156787</v>
      </c>
      <c r="AA32" s="21">
        <v>0.50285664868242663</v>
      </c>
      <c r="AB32" s="21">
        <v>0.52586232943955857</v>
      </c>
      <c r="AC32" s="21">
        <v>0.54940611163236874</v>
      </c>
      <c r="AD32" s="21">
        <v>0.56879977424228445</v>
      </c>
      <c r="AE32" s="21">
        <v>0.58047854418577527</v>
      </c>
      <c r="AF32" s="21">
        <v>0.58999332863741405</v>
      </c>
      <c r="AG32" s="144">
        <v>225152</v>
      </c>
      <c r="AH32" s="144">
        <v>270046</v>
      </c>
      <c r="AI32" s="3">
        <v>311671</v>
      </c>
      <c r="AJ32" s="3">
        <v>360510</v>
      </c>
      <c r="AK32" s="3">
        <v>429876.24462066265</v>
      </c>
      <c r="AL32" s="3">
        <v>510025.08596253896</v>
      </c>
      <c r="AM32" s="3">
        <v>594063.59337224951</v>
      </c>
      <c r="AN32" s="3">
        <v>669802.39713102451</v>
      </c>
      <c r="AO32" s="3">
        <v>746814.1395322613</v>
      </c>
      <c r="AP32" s="11">
        <v>-0.26715084895475549</v>
      </c>
      <c r="AQ32" s="11">
        <v>2.8998284407167367</v>
      </c>
      <c r="AR32" s="11">
        <v>5.5263501539035538</v>
      </c>
      <c r="AS32" s="242">
        <v>7.1737323358270988</v>
      </c>
      <c r="AT32" s="242">
        <v>7.3680359006528509</v>
      </c>
      <c r="AU32" s="242">
        <v>9.5121519915390103</v>
      </c>
      <c r="AV32" s="242">
        <v>12.252122487521879</v>
      </c>
      <c r="AW32" s="242">
        <v>15.255781628958147</v>
      </c>
      <c r="AX32" s="242">
        <v>19.175996570913487</v>
      </c>
      <c r="AY32" s="11">
        <v>1.3825694376288151</v>
      </c>
      <c r="AZ32" s="11">
        <v>2.8115707205489895</v>
      </c>
      <c r="BA32" s="145">
        <v>5.7456393993097663</v>
      </c>
      <c r="BB32" s="145">
        <v>5.8183245589729378</v>
      </c>
      <c r="BC32" s="145">
        <v>7.3680359006528509</v>
      </c>
      <c r="BD32" s="145">
        <v>9.5121519915390103</v>
      </c>
      <c r="BE32" s="145">
        <v>12.252122487521879</v>
      </c>
      <c r="BF32" s="145">
        <v>15.255781628958147</v>
      </c>
      <c r="BG32" s="145">
        <v>19.175996570913487</v>
      </c>
      <c r="BH32" s="5">
        <v>4.5051197709397854</v>
      </c>
      <c r="BI32" s="5">
        <v>4.0089070863145526</v>
      </c>
      <c r="BJ32" s="5">
        <v>3.5158288431869704</v>
      </c>
      <c r="BK32" s="5">
        <v>3.0960007594534642</v>
      </c>
      <c r="BL32" s="5">
        <v>2.7518552602762849</v>
      </c>
      <c r="BM32" s="5">
        <v>2.4907984362631619</v>
      </c>
      <c r="BN32" s="5">
        <v>2.2705636403065115</v>
      </c>
      <c r="BO32" s="229">
        <v>6.6858351442172888</v>
      </c>
      <c r="BP32" s="229">
        <v>5.6351771374635371</v>
      </c>
      <c r="BQ32" s="229">
        <v>4.8380034326527568</v>
      </c>
      <c r="BR32" s="229">
        <v>4.2909397103676774</v>
      </c>
      <c r="BS32" s="229">
        <v>3.8484564656864246</v>
      </c>
      <c r="BT32" s="5">
        <v>35.335741369454936</v>
      </c>
      <c r="BU32" s="5">
        <v>27.370779106338084</v>
      </c>
      <c r="BV32" s="5">
        <v>21.249788455142003</v>
      </c>
      <c r="BW32" s="5">
        <v>17.065989624033993</v>
      </c>
      <c r="BX32" s="5">
        <v>13.577130660381924</v>
      </c>
      <c r="BY32" s="8">
        <v>35.335741369454936</v>
      </c>
      <c r="BZ32" s="5">
        <v>27.370779106338084</v>
      </c>
      <c r="CA32" s="5">
        <v>21.249788455142003</v>
      </c>
      <c r="CB32" s="5">
        <v>17.065989624033993</v>
      </c>
      <c r="CC32" s="5">
        <v>13.577130660381924</v>
      </c>
      <c r="CE32" s="12">
        <v>26</v>
      </c>
      <c r="CF32" s="12">
        <v>26</v>
      </c>
      <c r="CG32" s="167">
        <v>26</v>
      </c>
      <c r="CH32" s="12">
        <v>26</v>
      </c>
      <c r="CI32" s="82">
        <v>24</v>
      </c>
      <c r="CJ32" s="46"/>
      <c r="CK32" s="46"/>
      <c r="CL32" s="46"/>
      <c r="CM32" s="46"/>
      <c r="CN32" s="46"/>
      <c r="CO32" s="182">
        <v>247.31595178001427</v>
      </c>
      <c r="CP32" s="182">
        <v>318.55518467556885</v>
      </c>
      <c r="CQ32" s="182">
        <v>396.65032235291181</v>
      </c>
      <c r="CR32" s="182">
        <v>498.57591084375065</v>
      </c>
      <c r="CS32" s="7"/>
      <c r="CT32" s="7"/>
      <c r="CU32" s="7"/>
      <c r="CV32" s="7"/>
      <c r="CW32" s="7"/>
      <c r="CX32" s="7"/>
      <c r="CY32" s="41"/>
      <c r="CZ32" s="41"/>
      <c r="DA32" s="41"/>
      <c r="DB32" s="41"/>
      <c r="DC32" s="19"/>
      <c r="DD32" s="40">
        <v>10827</v>
      </c>
      <c r="DE32" s="40">
        <v>10788.313435727139</v>
      </c>
      <c r="DF32" s="40">
        <v>10587.028530122499</v>
      </c>
      <c r="DG32" s="40">
        <v>10192.758926742536</v>
      </c>
      <c r="DH32" s="40">
        <v>9738.2352726687677</v>
      </c>
      <c r="DI32" s="40"/>
      <c r="DJ32" s="40"/>
      <c r="DK32" s="40"/>
      <c r="DL32" s="40"/>
      <c r="DM32" s="40"/>
      <c r="DN32" s="7"/>
      <c r="DO32" s="7"/>
      <c r="DP32" s="183"/>
      <c r="DQ32" s="183"/>
      <c r="DR32" s="183"/>
      <c r="DS32" s="183"/>
      <c r="DT32" s="183"/>
      <c r="DU32" s="78">
        <v>-7.9630524458702667E-2</v>
      </c>
      <c r="DV32" s="78">
        <v>0.13269529041962325</v>
      </c>
      <c r="DW32" s="6">
        <v>0.17438061315648223</v>
      </c>
      <c r="DX32" s="6">
        <v>0.19664114397053201</v>
      </c>
      <c r="DY32" s="171">
        <v>0.94991815537977653</v>
      </c>
      <c r="DZ32" s="132">
        <v>1.223541592185053</v>
      </c>
      <c r="EA32" s="132">
        <v>1.5234979378743008</v>
      </c>
      <c r="EB32" s="132">
        <v>1.9149848852724101</v>
      </c>
      <c r="EC32" s="78">
        <v>3.9032580000000004E-2</v>
      </c>
      <c r="ED32" s="6">
        <v>0.27081909999999998</v>
      </c>
      <c r="EE32" s="194">
        <v>0.1690691</v>
      </c>
      <c r="EF32" s="363">
        <v>0.1189282387704369</v>
      </c>
      <c r="EG32" s="175">
        <v>0.12131373789978017</v>
      </c>
      <c r="EH32" s="363">
        <v>0.24024197667021707</v>
      </c>
      <c r="EI32" s="6">
        <v>2.8149706366793703E-2</v>
      </c>
      <c r="EJ32" s="363">
        <v>0.26839168303701078</v>
      </c>
      <c r="EK32" s="6">
        <v>-9.4011069880528542E-2</v>
      </c>
      <c r="EL32" s="194">
        <v>0.17438061315648223</v>
      </c>
      <c r="EM32" s="6">
        <v>0.15931400871430323</v>
      </c>
      <c r="EN32" s="194">
        <v>0.27456183533810763</v>
      </c>
      <c r="EO32">
        <v>155.55812800000001</v>
      </c>
    </row>
    <row r="33" spans="2:145" x14ac:dyDescent="0.25">
      <c r="B33" s="10" t="s">
        <v>173</v>
      </c>
      <c r="C33" s="10"/>
      <c r="D33" s="38" t="s">
        <v>76</v>
      </c>
      <c r="F33" s="186">
        <v>46054</v>
      </c>
      <c r="G33" s="147"/>
      <c r="H33" s="225">
        <v>141.17999267578125</v>
      </c>
      <c r="I33" s="25">
        <v>86.451736999999994</v>
      </c>
      <c r="J33" s="25">
        <v>-1410.4560000000001</v>
      </c>
      <c r="K33" s="2">
        <v>704.5</v>
      </c>
      <c r="L33" s="2"/>
      <c r="M33" s="80">
        <v>-705.95600000000013</v>
      </c>
      <c r="N33" s="184">
        <v>11499.299596468565</v>
      </c>
      <c r="O33" s="3">
        <v>612.74900000000002</v>
      </c>
      <c r="P33" s="3">
        <v>752.47399999999993</v>
      </c>
      <c r="Q33" s="3">
        <v>971.54299999999989</v>
      </c>
      <c r="R33" s="3">
        <v>1188.6633999999999</v>
      </c>
      <c r="S33" s="3">
        <v>1394.7843379999999</v>
      </c>
      <c r="T33" s="3">
        <v>1657.59234956</v>
      </c>
      <c r="U33" s="3">
        <v>1941.5146442471751</v>
      </c>
      <c r="V33" s="3">
        <v>2243.9025321750023</v>
      </c>
      <c r="W33" s="3">
        <v>2585.5299222196718</v>
      </c>
      <c r="X33" s="4">
        <v>0.69387302141659957</v>
      </c>
      <c r="Y33" s="4">
        <v>0.74583640099192794</v>
      </c>
      <c r="Z33" s="4">
        <v>0.78985644485112849</v>
      </c>
      <c r="AA33" s="4">
        <v>0.80051716440499476</v>
      </c>
      <c r="AB33" s="4">
        <v>0.8015486845560279</v>
      </c>
      <c r="AC33" s="4">
        <v>0.80545120605167109</v>
      </c>
      <c r="AD33" s="4">
        <v>0.80912614681127659</v>
      </c>
      <c r="AE33" s="4">
        <v>0.81402539575870303</v>
      </c>
      <c r="AF33" s="4">
        <v>0.82065591358786527</v>
      </c>
      <c r="AG33" s="146">
        <v>425.16999999999996</v>
      </c>
      <c r="AH33" s="146">
        <v>561.22249999999997</v>
      </c>
      <c r="AI33" s="146">
        <v>767.37949999999989</v>
      </c>
      <c r="AJ33" s="146">
        <v>951.54545439999993</v>
      </c>
      <c r="AK33" s="146">
        <v>1117.9875513632501</v>
      </c>
      <c r="AL33" s="146">
        <v>1335.1097570951251</v>
      </c>
      <c r="AM33" s="146">
        <v>1570.9302630773832</v>
      </c>
      <c r="AN33" s="146">
        <v>1826.5936467977122</v>
      </c>
      <c r="AO33" s="146">
        <v>2121.830420427947</v>
      </c>
      <c r="AP33" s="148">
        <v>-7.7699242166049065E-2</v>
      </c>
      <c r="AQ33" s="148">
        <v>0.83215138099939279</v>
      </c>
      <c r="AR33" s="148">
        <v>1.9816447712180301</v>
      </c>
      <c r="AS33" s="148">
        <v>2.6954669862958989</v>
      </c>
      <c r="AT33" s="148">
        <v>3.2782003160065774</v>
      </c>
      <c r="AU33" s="148">
        <v>4.4782619898077254</v>
      </c>
      <c r="AV33" s="148">
        <v>6.0385589023121859</v>
      </c>
      <c r="AW33" s="11">
        <v>8.1300409651683001</v>
      </c>
      <c r="AX33" s="11">
        <v>10.871193975085561</v>
      </c>
      <c r="AY33" s="148">
        <v>-0.97359042371200832</v>
      </c>
      <c r="AZ33" s="148">
        <v>-0.22880869176027729</v>
      </c>
      <c r="BA33" s="148">
        <v>0.43081055984367345</v>
      </c>
      <c r="BB33" s="148">
        <v>1.1166603050811792</v>
      </c>
      <c r="BC33" s="148">
        <v>1.6426499281795595</v>
      </c>
      <c r="BD33" s="148">
        <v>2.7167351470236065</v>
      </c>
      <c r="BE33" s="148">
        <v>4.1543467249529211</v>
      </c>
      <c r="BF33" s="148">
        <v>6.1252537387228525</v>
      </c>
      <c r="BG33" s="148">
        <v>8.6079472903731347</v>
      </c>
      <c r="BH33" s="5">
        <v>11.836120065162907</v>
      </c>
      <c r="BI33" s="5">
        <v>9.6741429040959499</v>
      </c>
      <c r="BJ33" s="5">
        <v>8.2445000873450915</v>
      </c>
      <c r="BK33" s="5">
        <v>6.9373507904527907</v>
      </c>
      <c r="BL33" s="5">
        <v>5.9228497866558376</v>
      </c>
      <c r="BM33" s="5">
        <v>5.1246876509036055</v>
      </c>
      <c r="BN33" s="5">
        <v>4.4475600524462084</v>
      </c>
      <c r="BO33" s="229">
        <v>9.257142106995655</v>
      </c>
      <c r="BP33" s="229">
        <v>7.7516995002264286</v>
      </c>
      <c r="BQ33" s="5">
        <v>6.5880516023338611</v>
      </c>
      <c r="BR33" s="5">
        <v>5.6659397972645307</v>
      </c>
      <c r="BS33" s="5">
        <v>4.8775668107983714</v>
      </c>
      <c r="BT33" s="5">
        <v>43.066310495559719</v>
      </c>
      <c r="BU33" s="5">
        <v>31.525621546282697</v>
      </c>
      <c r="BV33" s="5">
        <v>23.379749201704882</v>
      </c>
      <c r="BW33" s="5">
        <v>17.36522525294049</v>
      </c>
      <c r="BX33" s="5">
        <v>12.986613337903403</v>
      </c>
      <c r="BY33" s="8" t="s">
        <v>24</v>
      </c>
      <c r="BZ33" s="5">
        <v>51.966785511077461</v>
      </c>
      <c r="CA33" s="5">
        <v>33.983680713934909</v>
      </c>
      <c r="CB33" s="5">
        <v>23.048839884503792</v>
      </c>
      <c r="CC33" s="5">
        <v>16.401121883456774</v>
      </c>
      <c r="CD33" t="s">
        <v>91</v>
      </c>
      <c r="CE33" s="12">
        <v>8.5</v>
      </c>
      <c r="CF33" s="12">
        <v>8.5</v>
      </c>
      <c r="CG33" s="167">
        <v>8.5</v>
      </c>
      <c r="CH33" s="12">
        <v>8.5</v>
      </c>
      <c r="CI33" s="12">
        <v>8.5</v>
      </c>
      <c r="CJ33" s="46"/>
      <c r="CK33" s="46"/>
      <c r="CL33" s="46"/>
      <c r="CM33" s="46"/>
      <c r="CN33" s="46"/>
      <c r="CO33" s="136">
        <v>140.37143296678997</v>
      </c>
      <c r="CP33" s="136">
        <v>166.39691050842487</v>
      </c>
      <c r="CQ33" s="136">
        <v>196.51476612841853</v>
      </c>
      <c r="CR33" s="136">
        <v>233.87843513530842</v>
      </c>
      <c r="CS33" s="7"/>
      <c r="CT33" s="7"/>
      <c r="CU33" s="7"/>
      <c r="CV33" s="7"/>
      <c r="CW33" s="7"/>
      <c r="CX33" s="7"/>
      <c r="CY33" s="137">
        <v>11348.432935308563</v>
      </c>
      <c r="CZ33" s="137">
        <v>13352.907236157756</v>
      </c>
      <c r="DA33" s="137">
        <v>15526.045997780553</v>
      </c>
      <c r="DB33" s="137">
        <v>18035.558573637551</v>
      </c>
      <c r="DC33" s="101"/>
      <c r="DD33" s="185">
        <v>85.874943929371113</v>
      </c>
      <c r="DE33" s="185">
        <v>84.489929489682083</v>
      </c>
      <c r="DF33" s="185">
        <v>82.599401142066142</v>
      </c>
      <c r="DG33" s="185">
        <v>80.133572651941179</v>
      </c>
      <c r="DH33" s="185"/>
      <c r="DI33" s="40">
        <v>-705.95600000000013</v>
      </c>
      <c r="DJ33" s="40">
        <v>-705.95600000000013</v>
      </c>
      <c r="DK33" s="40">
        <v>-705.95600000000013</v>
      </c>
      <c r="DL33" s="40">
        <v>-705.95600000000013</v>
      </c>
      <c r="DM33" s="40"/>
      <c r="DN33" s="7"/>
      <c r="DO33" s="7"/>
      <c r="DP33" s="7"/>
      <c r="DQ33" s="7"/>
      <c r="DR33" s="7"/>
      <c r="DS33" s="7"/>
      <c r="DT33" s="7"/>
      <c r="DU33" s="78">
        <v>-9.2333061753072654E-3</v>
      </c>
      <c r="DV33" s="78">
        <v>0.10682565707969971</v>
      </c>
      <c r="DW33" s="6">
        <v>0.13457908205234315</v>
      </c>
      <c r="DX33" s="6">
        <v>0.14966402467239526</v>
      </c>
      <c r="DY33" s="172">
        <v>0.994272844943064</v>
      </c>
      <c r="DZ33" s="138">
        <v>1.178615378529974</v>
      </c>
      <c r="EA33" s="138">
        <v>1.3919448670018928</v>
      </c>
      <c r="EB33" s="138">
        <v>1.656597586546193</v>
      </c>
      <c r="EC33" s="78">
        <v>5.8421160000000005E-3</v>
      </c>
      <c r="ED33" s="6">
        <v>9.577774E-2</v>
      </c>
      <c r="EE33" s="194">
        <v>-0.34021869999999999</v>
      </c>
      <c r="EF33" s="363">
        <v>0.1677500020375795</v>
      </c>
      <c r="EG33" s="175"/>
      <c r="EH33" s="363"/>
      <c r="EI33" s="6"/>
      <c r="EJ33" s="363"/>
      <c r="EK33" s="6"/>
      <c r="EL33" s="194">
        <v>0.13457908205234315</v>
      </c>
      <c r="EM33" s="6">
        <v>0.1777912539227946</v>
      </c>
      <c r="EN33" s="194">
        <v>0.55069488732657157</v>
      </c>
    </row>
    <row r="34" spans="2:145" ht="15.75" x14ac:dyDescent="0.25">
      <c r="B34" s="10"/>
      <c r="C34" s="10"/>
      <c r="D34" s="161" t="s">
        <v>157</v>
      </c>
      <c r="E34" s="289"/>
      <c r="F34" s="143">
        <v>46119</v>
      </c>
      <c r="G34" s="147"/>
      <c r="H34" s="149">
        <v>91.875</v>
      </c>
      <c r="I34" s="3">
        <v>566.41787999999997</v>
      </c>
      <c r="J34" s="25">
        <v>-250.7</v>
      </c>
      <c r="K34" s="3">
        <v>5366</v>
      </c>
      <c r="L34" s="3"/>
      <c r="M34" s="76">
        <v>5115.3</v>
      </c>
      <c r="N34" s="76">
        <v>57154.942725000001</v>
      </c>
      <c r="O34" s="3">
        <v>8034.25</v>
      </c>
      <c r="P34" s="3">
        <v>7835.4749999999995</v>
      </c>
      <c r="Q34" s="3">
        <v>5209.8</v>
      </c>
      <c r="R34" s="3">
        <v>4507.3709127382135</v>
      </c>
      <c r="S34" s="3">
        <v>5696.8211596085002</v>
      </c>
      <c r="T34" s="3">
        <v>8093.4529086247412</v>
      </c>
      <c r="U34" s="3">
        <v>9312.8625979542485</v>
      </c>
      <c r="V34" s="3">
        <v>10284.115115683908</v>
      </c>
      <c r="W34" s="3">
        <v>11715.819726456848</v>
      </c>
      <c r="X34" s="21">
        <v>0.67843388199604193</v>
      </c>
      <c r="Y34" s="21">
        <v>0.65828355862936194</v>
      </c>
      <c r="Z34" s="21">
        <v>0.57020174482006547</v>
      </c>
      <c r="AA34" s="21">
        <v>0.5703746964009716</v>
      </c>
      <c r="AB34" s="21">
        <v>0.64826824871255884</v>
      </c>
      <c r="AC34" s="21">
        <v>0.67069848898838991</v>
      </c>
      <c r="AD34" s="21">
        <v>0.66782419602480581</v>
      </c>
      <c r="AE34" s="21">
        <v>0.66558693718998463</v>
      </c>
      <c r="AF34" s="21">
        <v>0.66386262285968389</v>
      </c>
      <c r="AG34" s="144">
        <v>5450.7074164266996</v>
      </c>
      <c r="AH34" s="144">
        <v>5157.9643665513995</v>
      </c>
      <c r="AI34" s="144">
        <v>2970.637050163577</v>
      </c>
      <c r="AJ34" s="144">
        <v>2570.8903159196288</v>
      </c>
      <c r="AK34" s="144">
        <v>3693.0682763680511</v>
      </c>
      <c r="AL34" s="144">
        <v>5428.2666365133036</v>
      </c>
      <c r="AM34" s="144">
        <v>6219.3549771682801</v>
      </c>
      <c r="AN34" s="144">
        <v>6844.9726815572767</v>
      </c>
      <c r="AO34" s="144">
        <v>7777.694812556867</v>
      </c>
      <c r="AP34" s="11">
        <v>5.6675000000000004</v>
      </c>
      <c r="AQ34" s="11">
        <v>5.1950000000000003</v>
      </c>
      <c r="AR34" s="11">
        <v>2.2124999999999999</v>
      </c>
      <c r="AS34" s="11">
        <v>1.3482914155384864</v>
      </c>
      <c r="AT34" s="11">
        <v>2.5475875197837592</v>
      </c>
      <c r="AU34" s="11">
        <v>4.6130732219333401</v>
      </c>
      <c r="AV34" s="11">
        <v>5.6842629854626523</v>
      </c>
      <c r="AW34" s="11">
        <v>6.5062783362985908</v>
      </c>
      <c r="AX34" s="230">
        <v>7.6602041918817854</v>
      </c>
      <c r="AY34" s="145">
        <v>5.3680144488327732</v>
      </c>
      <c r="AZ34" s="145">
        <v>4.8992850708952185</v>
      </c>
      <c r="BA34" s="145">
        <v>1.8543936082742483</v>
      </c>
      <c r="BB34" s="145">
        <v>0.97340059376550214</v>
      </c>
      <c r="BC34" s="145">
        <v>2.1235227995459178</v>
      </c>
      <c r="BD34" s="145">
        <v>4.0999779795132145</v>
      </c>
      <c r="BE34" s="145">
        <v>5.1266802421200151</v>
      </c>
      <c r="BF34" s="145">
        <v>5.9210093199849103</v>
      </c>
      <c r="BG34" s="145">
        <v>7.0466053472198364</v>
      </c>
      <c r="BH34" s="5">
        <v>10.970659665438212</v>
      </c>
      <c r="BI34" s="5">
        <v>12.680328251547985</v>
      </c>
      <c r="BJ34" s="5">
        <v>10.032778127254364</v>
      </c>
      <c r="BK34" s="5">
        <v>7.0618737602208279</v>
      </c>
      <c r="BL34" s="5">
        <v>6.1372045516440021</v>
      </c>
      <c r="BM34" s="5">
        <v>5.5575946089746893</v>
      </c>
      <c r="BN34" s="5">
        <v>4.8784416335744574</v>
      </c>
      <c r="BO34" s="5">
        <v>15.476275673194172</v>
      </c>
      <c r="BP34" s="5">
        <v>10.529133248640839</v>
      </c>
      <c r="BQ34" s="5">
        <v>9.1898505447622938</v>
      </c>
      <c r="BR34" s="5">
        <v>8.3499153881205661</v>
      </c>
      <c r="BS34" s="5">
        <v>7.3485710229623527</v>
      </c>
      <c r="BT34" s="5">
        <v>36.063530413195934</v>
      </c>
      <c r="BU34" s="5">
        <v>19.916224083149316</v>
      </c>
      <c r="BV34" s="5">
        <v>16.163045276928216</v>
      </c>
      <c r="BW34" s="5">
        <v>14.120975963697783</v>
      </c>
      <c r="BX34" s="5">
        <v>11.993805608650522</v>
      </c>
      <c r="BY34" s="8">
        <v>43.265370176221339</v>
      </c>
      <c r="BZ34" s="5">
        <v>22.408656938910731</v>
      </c>
      <c r="CA34" s="5">
        <v>17.920953845564455</v>
      </c>
      <c r="CB34" s="5">
        <v>15.51678016953943</v>
      </c>
      <c r="CC34" s="5">
        <v>13.038192927357327</v>
      </c>
      <c r="CE34" s="12">
        <v>20</v>
      </c>
      <c r="CF34" s="12">
        <v>20</v>
      </c>
      <c r="CG34" s="167">
        <v>20</v>
      </c>
      <c r="CH34" s="12">
        <v>20</v>
      </c>
      <c r="CI34" s="82">
        <v>20</v>
      </c>
      <c r="CJ34" s="46"/>
      <c r="CK34" s="46"/>
      <c r="CL34" s="46"/>
      <c r="CM34" s="46"/>
      <c r="CN34" s="46"/>
      <c r="CO34" s="43">
        <v>81.999559590264283</v>
      </c>
      <c r="CP34" s="43">
        <v>102.53360484240031</v>
      </c>
      <c r="CQ34" s="43">
        <v>118.42018639969821</v>
      </c>
      <c r="CR34" s="43">
        <v>140.93210694439674</v>
      </c>
      <c r="CS34" s="7"/>
      <c r="CT34" s="7"/>
      <c r="CU34" s="7"/>
      <c r="CV34" s="7"/>
      <c r="CW34" s="7"/>
      <c r="CX34" s="7"/>
      <c r="CY34" s="41"/>
      <c r="CZ34" s="41"/>
      <c r="DA34" s="41"/>
      <c r="DB34" s="41"/>
      <c r="DC34" s="19"/>
      <c r="DD34" s="40">
        <v>537.29999999999995</v>
      </c>
      <c r="DE34" s="198">
        <v>537.29999999999995</v>
      </c>
      <c r="DF34" s="198">
        <v>549.08629332487362</v>
      </c>
      <c r="DG34" s="198">
        <v>543.66702968070604</v>
      </c>
      <c r="DH34" s="198">
        <v>531.92173019728568</v>
      </c>
      <c r="DI34" s="40">
        <v>4832.1611542859064</v>
      </c>
      <c r="DJ34" s="40">
        <v>4019.5209466971164</v>
      </c>
      <c r="DK34" s="40">
        <v>3717.795707536367</v>
      </c>
      <c r="DL34" s="40">
        <v>3700</v>
      </c>
      <c r="DM34" s="40">
        <v>3700</v>
      </c>
      <c r="DN34" s="7"/>
      <c r="DO34" s="7"/>
      <c r="DP34" s="7">
        <v>1.9522000000000002</v>
      </c>
      <c r="DQ34" s="7">
        <v>2.1474200000000003</v>
      </c>
      <c r="DR34" s="7">
        <v>2.3621620000000005</v>
      </c>
      <c r="DS34" s="7">
        <v>2.5983782000000009</v>
      </c>
      <c r="DT34" s="7">
        <v>2.8582160200000013</v>
      </c>
      <c r="DU34" s="78">
        <v>-0.14787428522080082</v>
      </c>
      <c r="DV34" s="78">
        <v>9.1638937645966978E-2</v>
      </c>
      <c r="DW34" s="6">
        <v>0.12177221275479555</v>
      </c>
      <c r="DX34" s="6">
        <v>0.14346108373853039</v>
      </c>
      <c r="DY34" s="171">
        <v>0.91376064860151607</v>
      </c>
      <c r="DZ34" s="132">
        <v>1.1606337397812279</v>
      </c>
      <c r="EA34" s="132">
        <v>1.3592595199967152</v>
      </c>
      <c r="EB34" s="132">
        <v>1.6325688940886725</v>
      </c>
      <c r="EC34" s="78">
        <v>0.16842300000000002</v>
      </c>
      <c r="ED34" s="6">
        <v>0.19265160000000001</v>
      </c>
      <c r="EE34" s="194">
        <v>0.81151580000000001</v>
      </c>
      <c r="EF34" s="363">
        <v>0.18387137927704011</v>
      </c>
      <c r="EG34" s="6">
        <v>0.13948445654705166</v>
      </c>
      <c r="EH34" s="363">
        <v>0.32335583582409178</v>
      </c>
      <c r="EI34" s="6">
        <v>1.8603196899030006E-2</v>
      </c>
      <c r="EJ34" s="363">
        <v>0.34195903272312178</v>
      </c>
      <c r="EK34" s="6">
        <v>-0.22018681996832623</v>
      </c>
      <c r="EL34" s="194">
        <v>0.12177221275479555</v>
      </c>
      <c r="EM34" s="6">
        <v>0.22836696271738544</v>
      </c>
      <c r="EN34" s="194">
        <v>0.4074930924848581</v>
      </c>
    </row>
    <row r="35" spans="2:145" outlineLevel="1" x14ac:dyDescent="0.25">
      <c r="D35" s="38" t="s">
        <v>156</v>
      </c>
      <c r="E35">
        <v>2</v>
      </c>
      <c r="F35">
        <v>46119</v>
      </c>
      <c r="H35">
        <v>256.45001220703125</v>
      </c>
      <c r="I35">
        <v>571</v>
      </c>
      <c r="J35">
        <v>-256</v>
      </c>
      <c r="K35">
        <v>4634</v>
      </c>
      <c r="M35">
        <v>4378</v>
      </c>
      <c r="N35">
        <v>150810.95697021484</v>
      </c>
      <c r="O35">
        <v>34176</v>
      </c>
      <c r="P35">
        <v>35902</v>
      </c>
      <c r="Q35">
        <v>38153</v>
      </c>
      <c r="R35">
        <v>40152</v>
      </c>
      <c r="S35">
        <v>43106.592000000004</v>
      </c>
      <c r="T35">
        <v>47244.824832000006</v>
      </c>
      <c r="U35">
        <v>51166.145293056004</v>
      </c>
      <c r="V35">
        <v>54594.277027690754</v>
      </c>
      <c r="W35">
        <v>57596.962264213747</v>
      </c>
      <c r="X35">
        <v>0.40601591760299627</v>
      </c>
      <c r="Y35">
        <v>0.41813826527770043</v>
      </c>
      <c r="Z35">
        <v>0.42638848845438104</v>
      </c>
      <c r="AA35">
        <v>0.42077605100617654</v>
      </c>
      <c r="AB35">
        <v>0.42327605100617655</v>
      </c>
      <c r="AC35">
        <v>0.42577605100617655</v>
      </c>
      <c r="AD35">
        <v>0.42827605100617655</v>
      </c>
      <c r="AE35">
        <v>0.43077605100617655</v>
      </c>
      <c r="AF35">
        <v>0.43327605100617655</v>
      </c>
      <c r="AG35">
        <v>13876</v>
      </c>
      <c r="AH35">
        <v>15012</v>
      </c>
      <c r="AI35">
        <v>16268</v>
      </c>
      <c r="AJ35">
        <v>16895</v>
      </c>
      <c r="AK35">
        <v>18245.988034094444</v>
      </c>
      <c r="AL35">
        <v>20115.714947447512</v>
      </c>
      <c r="AM35">
        <v>21913.234651318293</v>
      </c>
      <c r="AN35">
        <v>23517.907065525844</v>
      </c>
      <c r="AO35">
        <v>24955.384359790303</v>
      </c>
      <c r="AP35">
        <v>7.3353245149027382</v>
      </c>
      <c r="AQ35">
        <v>7.4291705643684463</v>
      </c>
      <c r="AR35">
        <v>8.4292358069909454</v>
      </c>
      <c r="AS35">
        <v>8.7645961770874745</v>
      </c>
      <c r="AT35">
        <v>10.118098155403851</v>
      </c>
      <c r="AU35">
        <v>11.686460573845341</v>
      </c>
      <c r="AV35">
        <v>13.168168474676882</v>
      </c>
      <c r="AW35">
        <v>14.563010417844174</v>
      </c>
      <c r="AX35">
        <v>15.956887467831717</v>
      </c>
      <c r="AY35">
        <v>7.3353245149027382</v>
      </c>
      <c r="AZ35">
        <v>7.4291705643684463</v>
      </c>
      <c r="BA35">
        <v>8.4292358069909454</v>
      </c>
      <c r="BB35">
        <v>8.7645961770874745</v>
      </c>
      <c r="BC35">
        <v>10.118098155403851</v>
      </c>
      <c r="BD35">
        <v>11.686460573845341</v>
      </c>
      <c r="BE35">
        <v>13.168168474676882</v>
      </c>
      <c r="BF35">
        <v>14.563010417844174</v>
      </c>
      <c r="BG35">
        <v>15.956887467831717</v>
      </c>
      <c r="BH35">
        <v>3.9527941962680484</v>
      </c>
      <c r="BI35">
        <v>3.7560011199993735</v>
      </c>
      <c r="BJ35">
        <v>3.4985590364047994</v>
      </c>
      <c r="BK35">
        <v>3.1921159091284665</v>
      </c>
      <c r="BL35">
        <v>2.9474754470253615</v>
      </c>
      <c r="BM35">
        <v>2.7623949831540409</v>
      </c>
      <c r="BN35">
        <v>2.6183838702881905</v>
      </c>
      <c r="BO35">
        <v>8.2654311012596065</v>
      </c>
      <c r="BP35">
        <v>7.4971711104581589</v>
      </c>
      <c r="BQ35">
        <v>6.8821860108700159</v>
      </c>
      <c r="BR35">
        <v>6.4126011107205985</v>
      </c>
      <c r="BS35">
        <v>6.0432231696343264</v>
      </c>
      <c r="BY35" s="166">
        <v>25.345673492015592</v>
      </c>
      <c r="BZ35">
        <v>21.944198637949825</v>
      </c>
      <c r="CA35">
        <v>19.474994772446816</v>
      </c>
      <c r="CB35">
        <v>17.609684045326301</v>
      </c>
      <c r="CC35">
        <v>16.071430767687094</v>
      </c>
      <c r="CD35" t="s">
        <v>55</v>
      </c>
      <c r="CE35">
        <v>22</v>
      </c>
      <c r="CF35">
        <v>22</v>
      </c>
      <c r="CG35" s="166">
        <v>22</v>
      </c>
      <c r="CH35">
        <v>22</v>
      </c>
      <c r="CI35">
        <v>22</v>
      </c>
      <c r="CO35">
        <v>257.10213262459752</v>
      </c>
      <c r="CP35">
        <v>289.6997064428914</v>
      </c>
      <c r="CQ35">
        <v>320.38622919257182</v>
      </c>
      <c r="CR35">
        <v>351.05152429229776</v>
      </c>
      <c r="DD35">
        <v>569.08500000000004</v>
      </c>
      <c r="DE35" s="197">
        <v>569.08500000000004</v>
      </c>
      <c r="DF35" s="197">
        <v>569.08500000000004</v>
      </c>
      <c r="DG35" s="197">
        <v>569.08500000000004</v>
      </c>
      <c r="DH35" s="197">
        <v>569.08500000000004</v>
      </c>
      <c r="DP35">
        <v>4.2</v>
      </c>
      <c r="DQ35">
        <v>5.1394413869593043</v>
      </c>
      <c r="DR35">
        <v>5.8138010057729836</v>
      </c>
      <c r="DS35">
        <v>6.4205319897247906</v>
      </c>
      <c r="DT35">
        <v>7.0160967806631449</v>
      </c>
      <c r="DU35" s="166">
        <v>2.0564085289028533E-2</v>
      </c>
      <c r="DV35" s="166">
        <v>9.5899985905550933E-2</v>
      </c>
      <c r="DW35">
        <v>0.1060615243998082</v>
      </c>
      <c r="DX35">
        <v>0.10743910020538672</v>
      </c>
      <c r="DY35" s="166">
        <v>1.0189203360756682</v>
      </c>
      <c r="DZ35">
        <v>1.1660718798813601</v>
      </c>
      <c r="EA35">
        <v>1.3084010747265014</v>
      </c>
      <c r="EB35">
        <v>1.4530133785836423</v>
      </c>
      <c r="EC35" s="166">
        <v>-7.9490379999999999E-2</v>
      </c>
      <c r="ED35">
        <v>-1.098903E-2</v>
      </c>
      <c r="EE35" s="114">
        <v>0.1289613</v>
      </c>
      <c r="EF35" s="364">
        <v>7.9493751321065398E-2</v>
      </c>
      <c r="EG35">
        <v>4.4781165925862787E-2</v>
      </c>
      <c r="EH35" s="364">
        <v>0.12427491724692818</v>
      </c>
      <c r="EI35">
        <v>2.1355511544857653E-2</v>
      </c>
      <c r="EJ35" s="364">
        <v>0.14563042879178584</v>
      </c>
      <c r="EK35">
        <v>-3.9568904391977633E-2</v>
      </c>
      <c r="EL35" s="114">
        <v>0.1060615243998082</v>
      </c>
      <c r="EM35">
        <v>8.8287801853754511E-2</v>
      </c>
      <c r="EN35" s="114">
        <v>0.12906104610494396</v>
      </c>
      <c r="EO35">
        <v>298.56473599999998</v>
      </c>
    </row>
    <row r="36" spans="2:145" outlineLevel="1" x14ac:dyDescent="0.25">
      <c r="B36" t="s">
        <v>54</v>
      </c>
      <c r="D36" s="38" t="s">
        <v>68</v>
      </c>
      <c r="E36">
        <v>2</v>
      </c>
      <c r="F36" s="143">
        <v>46016</v>
      </c>
      <c r="H36" s="247">
        <v>184.41490173339844</v>
      </c>
      <c r="I36" s="25">
        <v>2922</v>
      </c>
      <c r="J36" s="25">
        <v>-19766</v>
      </c>
      <c r="K36" s="2">
        <v>108075</v>
      </c>
      <c r="L36" s="237">
        <v>506</v>
      </c>
      <c r="M36" s="76">
        <v>88309</v>
      </c>
      <c r="N36" s="76">
        <v>627675.34286499023</v>
      </c>
      <c r="O36" s="3">
        <v>46823.166666666672</v>
      </c>
      <c r="P36" s="3">
        <v>51708.083333333336</v>
      </c>
      <c r="Q36" s="3">
        <v>55549.833333333336</v>
      </c>
      <c r="R36" s="3">
        <v>62562.083333333336</v>
      </c>
      <c r="S36" s="3">
        <v>77012.5</v>
      </c>
      <c r="T36" s="3">
        <v>103966.33333333334</v>
      </c>
      <c r="U36" s="3">
        <v>130624.98666666666</v>
      </c>
      <c r="V36" s="3">
        <v>149866.65280000001</v>
      </c>
      <c r="W36" s="3">
        <v>167111.31891200002</v>
      </c>
      <c r="X36" s="4">
        <v>0.7619269663521262</v>
      </c>
      <c r="Y36" s="4">
        <v>0.73268847391687641</v>
      </c>
      <c r="Z36" s="4">
        <v>0.72284795333919394</v>
      </c>
      <c r="AA36" s="4">
        <v>0.68592364917515269</v>
      </c>
      <c r="AB36" s="4">
        <v>0.6361296867391657</v>
      </c>
      <c r="AC36" s="4">
        <v>0.5671562268554885</v>
      </c>
      <c r="AD36" s="4">
        <v>0.54624472050982797</v>
      </c>
      <c r="AE36" s="4">
        <v>0.54999999999999993</v>
      </c>
      <c r="AF36" s="4">
        <v>0.55000000000000004</v>
      </c>
      <c r="AG36" s="3">
        <v>35675.833333333336</v>
      </c>
      <c r="AH36" s="3">
        <v>37885.916666666672</v>
      </c>
      <c r="AI36" s="3">
        <v>40154.083333333336</v>
      </c>
      <c r="AJ36" s="3">
        <v>42912.8125</v>
      </c>
      <c r="AK36" s="3">
        <v>48989.9375</v>
      </c>
      <c r="AL36" s="3">
        <v>58965.153333333343</v>
      </c>
      <c r="AM36" s="3">
        <v>71353.209333333332</v>
      </c>
      <c r="AN36" s="3">
        <v>82426.659039999999</v>
      </c>
      <c r="AO36" s="3">
        <v>91911.225401600008</v>
      </c>
      <c r="AP36" s="223">
        <v>5.0327384737273118</v>
      </c>
      <c r="AQ36" s="223">
        <v>5.3817053595235294</v>
      </c>
      <c r="AR36" s="223">
        <v>5.836661880111671</v>
      </c>
      <c r="AS36" s="223">
        <v>6.1956216747730233</v>
      </c>
      <c r="AT36" s="223">
        <v>7.1496288462425142</v>
      </c>
      <c r="AU36" s="223">
        <v>8.6706219451156059</v>
      </c>
      <c r="AV36" s="223">
        <v>10.806072571790086</v>
      </c>
      <c r="AW36" s="223">
        <v>12.978162419641425</v>
      </c>
      <c r="AX36" s="223">
        <v>15.177568439014676</v>
      </c>
      <c r="AY36" s="223">
        <v>4.079363587349162</v>
      </c>
      <c r="AZ36" s="223">
        <v>4.2709301584585226</v>
      </c>
      <c r="BA36" s="223">
        <v>4.5984826964900281</v>
      </c>
      <c r="BB36" s="238">
        <v>4.8844799813437794</v>
      </c>
      <c r="BC36" s="238">
        <v>5.6197485015707542</v>
      </c>
      <c r="BD36" s="238">
        <v>6.5941229446705805</v>
      </c>
      <c r="BE36" s="238">
        <v>8.18408384462915</v>
      </c>
      <c r="BF36" s="238">
        <v>9.9518600769993313</v>
      </c>
      <c r="BG36" s="238">
        <v>11.75851672245688</v>
      </c>
      <c r="BH36" s="5">
        <v>11.299320001529981</v>
      </c>
      <c r="BI36" s="5">
        <v>10.032839531904818</v>
      </c>
      <c r="BJ36" s="5">
        <v>8.1503047279985754</v>
      </c>
      <c r="BK36" s="5">
        <v>6.0372942157396166</v>
      </c>
      <c r="BL36" s="5">
        <v>4.8051705793985171</v>
      </c>
      <c r="BM36" s="5">
        <v>4.1882255400915325</v>
      </c>
      <c r="BN36" s="5">
        <v>3.756031290708207</v>
      </c>
      <c r="BO36" s="5">
        <v>12.812331978684199</v>
      </c>
      <c r="BP36" s="5">
        <v>10.644852211554612</v>
      </c>
      <c r="BQ36" s="5">
        <v>8.7967359664615081</v>
      </c>
      <c r="BR36" s="5">
        <v>7.6149555274391512</v>
      </c>
      <c r="BS36" s="5">
        <v>6.8291478012876494</v>
      </c>
      <c r="BT36" s="5">
        <v>25.793632886316558</v>
      </c>
      <c r="BU36" s="5">
        <v>21.268935827294868</v>
      </c>
      <c r="BV36" s="5">
        <v>17.065858155980262</v>
      </c>
      <c r="BW36" s="5">
        <v>14.209631207442822</v>
      </c>
      <c r="BX36" s="5">
        <v>12.150490539667144</v>
      </c>
      <c r="BY36" s="8">
        <v>32.815507968346509</v>
      </c>
      <c r="BZ36" s="5">
        <v>27.966554958221387</v>
      </c>
      <c r="CA36" s="5">
        <v>22.533359290352546</v>
      </c>
      <c r="CB36" s="5">
        <v>18.530696805074346</v>
      </c>
      <c r="CC36" s="5">
        <v>15.683517410082478</v>
      </c>
      <c r="CE36" s="12">
        <v>22</v>
      </c>
      <c r="CF36" s="12">
        <v>22</v>
      </c>
      <c r="CG36" s="167">
        <v>22</v>
      </c>
      <c r="CH36" s="12">
        <v>22</v>
      </c>
      <c r="CI36" s="82">
        <v>27</v>
      </c>
      <c r="CJ36" s="83">
        <v>178.04131950610568</v>
      </c>
      <c r="CK36" s="83">
        <v>220.97026380498704</v>
      </c>
      <c r="CL36" s="83">
        <v>268.70022207898194</v>
      </c>
      <c r="CM36" s="83">
        <v>317.47995150633579</v>
      </c>
      <c r="CN36" s="83"/>
      <c r="CO36" s="84">
        <v>145.07070478275278</v>
      </c>
      <c r="CP36" s="84">
        <v>180.04984458184128</v>
      </c>
      <c r="CQ36" s="84">
        <v>218.94092169398527</v>
      </c>
      <c r="CR36" s="84">
        <v>258.68736789405136</v>
      </c>
      <c r="CS36" s="85"/>
      <c r="CT36" s="85"/>
      <c r="CU36" s="85"/>
      <c r="CV36" s="85"/>
      <c r="CW36" s="85"/>
      <c r="CX36" s="85"/>
      <c r="CY36" s="84"/>
      <c r="CZ36" s="84"/>
      <c r="DA36" s="84"/>
      <c r="DB36" s="84"/>
      <c r="DC36" s="84"/>
      <c r="DD36" s="40">
        <v>2876.5202339157863</v>
      </c>
      <c r="DE36" s="40">
        <v>2915.0937851038657</v>
      </c>
      <c r="DF36" s="40">
        <v>2942.9543053725347</v>
      </c>
      <c r="DG36" s="40">
        <v>2921.0293424559113</v>
      </c>
      <c r="DH36" s="40">
        <v>2857.4351780159996</v>
      </c>
      <c r="DI36" s="40"/>
      <c r="DJ36" s="40"/>
      <c r="DK36" s="40"/>
      <c r="DL36" s="40"/>
      <c r="DM36" s="40"/>
      <c r="DN36" s="85"/>
      <c r="DO36" s="85"/>
      <c r="DP36" s="85">
        <v>1.9529573569848822</v>
      </c>
      <c r="DQ36" s="85">
        <v>2.0588007247532594</v>
      </c>
      <c r="DR36" s="85">
        <v>2.3470286411656622</v>
      </c>
      <c r="DS36" s="85">
        <v>2.5646851814076257</v>
      </c>
      <c r="DT36" s="85"/>
      <c r="DU36" s="78">
        <v>-0.31212683684755582</v>
      </c>
      <c r="DV36" s="78">
        <v>-3.6780882161135953E-3</v>
      </c>
      <c r="DW36" s="6">
        <v>7.808934203949236E-2</v>
      </c>
      <c r="DX36" s="6">
        <v>0.10750786979756266</v>
      </c>
      <c r="DY36" s="171">
        <v>0.79724393613420752</v>
      </c>
      <c r="DZ36" s="132">
        <v>0.99808421626181953</v>
      </c>
      <c r="EA36" s="132">
        <v>1.2217001245517363</v>
      </c>
      <c r="EB36" s="132">
        <v>1.4511345736324364</v>
      </c>
      <c r="EC36" s="78">
        <v>5.2353490000000003E-2</v>
      </c>
      <c r="ED36" s="6">
        <v>0.17685580000000001</v>
      </c>
      <c r="EE36" s="194">
        <v>-0.18314640000000001</v>
      </c>
      <c r="EF36" s="363">
        <v>0.22927264720578866</v>
      </c>
      <c r="EG36" s="175">
        <v>-1.0922199615033268E-2</v>
      </c>
      <c r="EH36" s="363">
        <v>0.21835044759075539</v>
      </c>
      <c r="EI36" s="6">
        <v>7.4187421746872984E-3</v>
      </c>
      <c r="EJ36" s="363">
        <v>0.22576918976544269</v>
      </c>
      <c r="EK36" s="6">
        <v>-0.14767984772595033</v>
      </c>
      <c r="EL36" s="194">
        <v>7.808934203949236E-2</v>
      </c>
      <c r="EM36" s="6">
        <v>0.18937901198475959</v>
      </c>
      <c r="EN36" s="194">
        <v>0.20984330909268278</v>
      </c>
      <c r="EO36">
        <v>55.202309999999997</v>
      </c>
    </row>
    <row r="37" spans="2:145" outlineLevel="1" x14ac:dyDescent="0.25">
      <c r="B37" s="10" t="s">
        <v>19</v>
      </c>
      <c r="C37" s="10"/>
      <c r="D37" s="142" t="s">
        <v>151</v>
      </c>
      <c r="E37" s="290"/>
      <c r="F37" s="186">
        <v>46119</v>
      </c>
      <c r="G37" s="147"/>
      <c r="H37" s="149">
        <v>221.66999816894531</v>
      </c>
      <c r="I37" s="3">
        <v>23949.959191682563</v>
      </c>
      <c r="J37" s="25">
        <v>-43210</v>
      </c>
      <c r="K37" s="3">
        <v>10270</v>
      </c>
      <c r="L37" s="3"/>
      <c r="M37" s="76">
        <v>-32940</v>
      </c>
      <c r="N37" s="76">
        <v>5276047.4101665886</v>
      </c>
      <c r="O37" s="3">
        <v>26974</v>
      </c>
      <c r="P37" s="3">
        <v>60922</v>
      </c>
      <c r="Q37" s="3">
        <v>130497</v>
      </c>
      <c r="R37" s="3">
        <v>215938</v>
      </c>
      <c r="S37" s="3">
        <v>354704.9</v>
      </c>
      <c r="T37" s="3">
        <v>400449.91938136693</v>
      </c>
      <c r="U37" s="3">
        <v>409606.62497847673</v>
      </c>
      <c r="V37" s="3">
        <v>430668.60839300056</v>
      </c>
      <c r="W37" s="3">
        <v>452513.22272124665</v>
      </c>
      <c r="X37" s="4"/>
      <c r="Y37" s="4"/>
      <c r="Z37" s="4"/>
      <c r="AA37" s="4"/>
      <c r="AB37" s="4"/>
      <c r="AC37" s="4"/>
      <c r="AD37" s="4"/>
      <c r="AE37" s="4"/>
      <c r="AF37" s="4"/>
      <c r="AG37" s="146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11">
        <v>0.33370562425209416</v>
      </c>
      <c r="AQ37" s="11">
        <v>1.295589414595028</v>
      </c>
      <c r="AR37" s="11">
        <v>2.9940735365263667</v>
      </c>
      <c r="AS37" s="11">
        <v>4.8100000000000005</v>
      </c>
      <c r="AT37" s="11">
        <v>8.4278766085268888</v>
      </c>
      <c r="AU37" s="11">
        <v>9.7821150047251209</v>
      </c>
      <c r="AV37" s="11">
        <v>10.225720068532778</v>
      </c>
      <c r="AW37" s="11">
        <v>10.981352338408334</v>
      </c>
      <c r="AX37" s="11">
        <v>11.757462291622598</v>
      </c>
      <c r="AY37" s="11">
        <v>0.33370562425209416</v>
      </c>
      <c r="AZ37" s="11">
        <v>1.295589414595028</v>
      </c>
      <c r="BA37" s="11">
        <v>2.9940735365263667</v>
      </c>
      <c r="BB37" s="11">
        <v>4.8100000000000005</v>
      </c>
      <c r="BC37" s="11">
        <v>8.4278766085268888</v>
      </c>
      <c r="BD37" s="11">
        <v>9.7821150047251209</v>
      </c>
      <c r="BE37" s="11">
        <v>10.225720068532778</v>
      </c>
      <c r="BF37" s="11">
        <v>10.981352338408334</v>
      </c>
      <c r="BG37" s="11">
        <v>11.757462291622598</v>
      </c>
      <c r="BH37" s="5">
        <v>40.430411504989301</v>
      </c>
      <c r="BI37" s="5">
        <v>24.433158638899076</v>
      </c>
      <c r="BJ37" s="5">
        <v>14.874470045851039</v>
      </c>
      <c r="BK37" s="5">
        <v>13.175298969512253</v>
      </c>
      <c r="BL37" s="5">
        <v>12.880766785556325</v>
      </c>
      <c r="BM37" s="5">
        <v>12.250828844604355</v>
      </c>
      <c r="BN37" s="5">
        <v>11.659432576220418</v>
      </c>
      <c r="BO37" s="5" t="s">
        <v>24</v>
      </c>
      <c r="BP37" s="5" t="s">
        <v>24</v>
      </c>
      <c r="BQ37" s="5" t="e">
        <v>#DIV/0!</v>
      </c>
      <c r="BR37" s="5" t="e">
        <v>#DIV/0!</v>
      </c>
      <c r="BS37" s="5" t="e">
        <v>#DIV/0!</v>
      </c>
      <c r="BT37" s="234">
        <v>26.301998530053357</v>
      </c>
      <c r="BU37" s="234">
        <v>22.660743414064399</v>
      </c>
      <c r="BV37" s="234">
        <v>21.677690830896303</v>
      </c>
      <c r="BW37" s="234">
        <v>20.186038234437959</v>
      </c>
      <c r="BX37" s="234">
        <v>18.853558078335418</v>
      </c>
      <c r="BY37" s="199">
        <v>26.301998530053357</v>
      </c>
      <c r="BZ37" s="5">
        <v>22.660743414064399</v>
      </c>
      <c r="CA37" s="5">
        <v>21.677690830896303</v>
      </c>
      <c r="CB37" s="5">
        <v>20.186038234437959</v>
      </c>
      <c r="CC37" s="5">
        <v>18.853558078335418</v>
      </c>
      <c r="CE37" s="12">
        <v>24</v>
      </c>
      <c r="CF37" s="12">
        <v>24</v>
      </c>
      <c r="CG37" s="167">
        <v>24</v>
      </c>
      <c r="CH37" s="12">
        <v>24</v>
      </c>
      <c r="CI37" s="12">
        <v>24</v>
      </c>
      <c r="CJ37" s="46"/>
      <c r="CK37" s="46"/>
      <c r="CL37" s="46"/>
      <c r="CM37" s="46"/>
      <c r="CN37" s="46"/>
      <c r="CO37" s="19">
        <v>234.7707601134029</v>
      </c>
      <c r="CP37" s="19">
        <v>245.41728164478667</v>
      </c>
      <c r="CQ37" s="19">
        <v>263.55245612179999</v>
      </c>
      <c r="CR37" s="19">
        <v>282.17909499894233</v>
      </c>
      <c r="CS37" s="7"/>
      <c r="CT37" s="7"/>
      <c r="CU37" s="7"/>
      <c r="CV37" s="7"/>
      <c r="CW37" s="7"/>
      <c r="CX37" s="7"/>
      <c r="CY37" s="41"/>
      <c r="CZ37" s="41"/>
      <c r="DA37" s="41"/>
      <c r="DB37" s="41"/>
      <c r="DC37" s="19"/>
      <c r="DD37" s="40">
        <v>22739.183584099916</v>
      </c>
      <c r="DE37" s="40">
        <v>21525.914915016045</v>
      </c>
      <c r="DF37" s="40">
        <v>20428.256408220288</v>
      </c>
      <c r="DG37" s="40">
        <v>19409.324661193688</v>
      </c>
      <c r="DH37" s="40">
        <v>18466.077905645991</v>
      </c>
      <c r="DI37" s="40">
        <v>-32940</v>
      </c>
      <c r="DJ37" s="40">
        <v>-32940</v>
      </c>
      <c r="DK37" s="40">
        <v>-32940</v>
      </c>
      <c r="DL37" s="40">
        <v>-32940</v>
      </c>
      <c r="DM37" s="40">
        <v>-32940</v>
      </c>
      <c r="DN37" s="7"/>
      <c r="DO37" s="7"/>
      <c r="DP37" s="7">
        <v>4.4000000000000004E-2</v>
      </c>
      <c r="DQ37" s="7">
        <v>4.8400000000000006E-2</v>
      </c>
      <c r="DR37" s="7">
        <v>5.324000000000001E-2</v>
      </c>
      <c r="DS37" s="7">
        <v>5.8564000000000012E-2</v>
      </c>
      <c r="DT37" s="7">
        <v>6.4420400000000017E-2</v>
      </c>
      <c r="DU37" s="78">
        <v>9.7377093439354523E-2</v>
      </c>
      <c r="DV37" s="78">
        <v>6.5072968548651744E-2</v>
      </c>
      <c r="DW37" s="6">
        <v>6.8506453475023266E-2</v>
      </c>
      <c r="DX37" s="6">
        <v>6.9157011918087541E-2</v>
      </c>
      <c r="DY37" s="171">
        <v>1.0592987867236745</v>
      </c>
      <c r="DZ37" s="132">
        <v>1.1075458279097923</v>
      </c>
      <c r="EA37" s="132">
        <v>1.1895975923671145</v>
      </c>
      <c r="EB37" s="132">
        <v>1.2738904738192154</v>
      </c>
      <c r="EC37" s="78">
        <v>9.9993590000000007E-2</v>
      </c>
      <c r="ED37" s="6">
        <v>0.18066369999999998</v>
      </c>
      <c r="EE37" s="194">
        <v>0.18939900000000001</v>
      </c>
      <c r="EF37" s="363">
        <v>5.7368954974396091E-2</v>
      </c>
      <c r="EG37" s="188">
        <v>-3.0518252927299594E-2</v>
      </c>
      <c r="EH37" s="188">
        <v>2.6850702047096497E-2</v>
      </c>
      <c r="EI37" s="6">
        <v>5.4899399222544928E-2</v>
      </c>
      <c r="EJ37" s="363">
        <v>8.1750101269641426E-2</v>
      </c>
      <c r="EK37" s="6">
        <v>-1.324364779461816E-2</v>
      </c>
      <c r="EL37" s="194">
        <v>6.8506453475023266E-2</v>
      </c>
      <c r="EM37" s="6">
        <v>0</v>
      </c>
      <c r="EN37" s="235">
        <v>9.2226105677069459E-2</v>
      </c>
      <c r="EO37">
        <v>487.73900800000001</v>
      </c>
    </row>
    <row r="38" spans="2:145" outlineLevel="1" x14ac:dyDescent="0.25">
      <c r="B38" s="10" t="s">
        <v>50</v>
      </c>
      <c r="C38" s="10"/>
      <c r="D38" s="38" t="s">
        <v>165</v>
      </c>
      <c r="E38" s="291"/>
      <c r="F38" s="186">
        <v>46119</v>
      </c>
      <c r="G38" s="147"/>
      <c r="H38" s="225">
        <v>31.25</v>
      </c>
      <c r="I38" s="25">
        <v>584</v>
      </c>
      <c r="J38" s="25"/>
      <c r="K38" s="2"/>
      <c r="L38" s="2"/>
      <c r="M38" s="80">
        <v>0</v>
      </c>
      <c r="N38" s="80">
        <v>18250</v>
      </c>
      <c r="O38" s="3">
        <v>652.54500000000007</v>
      </c>
      <c r="P38" s="3">
        <v>937.38499999999999</v>
      </c>
      <c r="Q38" s="3">
        <v>1249.1990000000001</v>
      </c>
      <c r="R38" s="3">
        <v>1597</v>
      </c>
      <c r="S38" s="3">
        <v>2015.4619432</v>
      </c>
      <c r="T38" s="3">
        <v>2499.0954630532001</v>
      </c>
      <c r="U38" s="3">
        <v>3043.4160714545396</v>
      </c>
      <c r="V38" s="3">
        <v>3647.0294470982017</v>
      </c>
      <c r="W38" s="3">
        <v>4306.7083294945915</v>
      </c>
      <c r="X38" s="135">
        <v>0.73459301657356946</v>
      </c>
      <c r="Y38" s="135">
        <v>0.75004187180294113</v>
      </c>
      <c r="Z38" s="135">
        <v>0.77347724421809494</v>
      </c>
      <c r="AA38" s="135">
        <v>0.77457733249843452</v>
      </c>
      <c r="AB38" s="135">
        <v>0.77570321829731492</v>
      </c>
      <c r="AC38" s="135">
        <v>0.77653474621997043</v>
      </c>
      <c r="AD38" s="135">
        <v>0.7771545132848493</v>
      </c>
      <c r="AE38" s="135">
        <v>0.7776254647444949</v>
      </c>
      <c r="AF38" s="135">
        <v>0.77798918353938862</v>
      </c>
      <c r="AG38" s="146">
        <v>479.35499999999996</v>
      </c>
      <c r="AH38" s="146">
        <v>703.07799999999997</v>
      </c>
      <c r="AI38" s="146">
        <v>966.22700000000009</v>
      </c>
      <c r="AJ38" s="146">
        <v>1237</v>
      </c>
      <c r="AK38" s="146">
        <v>1563.400315696</v>
      </c>
      <c r="AL38" s="146">
        <v>1940.6344611814961</v>
      </c>
      <c r="AM38" s="146">
        <v>2365.204535734541</v>
      </c>
      <c r="AN38" s="146">
        <v>2836.0229687365972</v>
      </c>
      <c r="AO38" s="146">
        <v>3350.5724970057813</v>
      </c>
      <c r="AP38" s="148">
        <v>-0.12627770326248658</v>
      </c>
      <c r="AQ38" s="148">
        <v>6.7343595126815495E-2</v>
      </c>
      <c r="AR38" s="148">
        <v>0.25699684937716399</v>
      </c>
      <c r="AS38" s="148">
        <v>0.50684931506849318</v>
      </c>
      <c r="AT38" s="148">
        <v>0.64130836872540675</v>
      </c>
      <c r="AU38" s="148">
        <v>0.93597581674201291</v>
      </c>
      <c r="AV38" s="148">
        <v>1.2984002988685597</v>
      </c>
      <c r="AW38" s="11">
        <v>1.7374877290528952</v>
      </c>
      <c r="AX38" s="11">
        <v>2.262534800629723</v>
      </c>
      <c r="AY38" s="225">
        <v>-0.48110439925796755</v>
      </c>
      <c r="AZ38" s="225">
        <v>-0.5095975206864769</v>
      </c>
      <c r="BA38" s="225">
        <v>-0.26787206762618437</v>
      </c>
      <c r="BB38" s="225">
        <v>-7.3630136986301373E-2</v>
      </c>
      <c r="BC38" s="225">
        <v>-1.4882744504979728E-2</v>
      </c>
      <c r="BD38" s="225">
        <v>0.19679474720218906</v>
      </c>
      <c r="BE38" s="225">
        <v>0.46873862963911672</v>
      </c>
      <c r="BF38" s="227">
        <v>0.80881649362232044</v>
      </c>
      <c r="BG38" s="227">
        <v>1.2253431313711185</v>
      </c>
      <c r="BH38" s="5">
        <v>14.609361678963879</v>
      </c>
      <c r="BI38" s="5">
        <v>11.427676894176582</v>
      </c>
      <c r="BJ38" s="5">
        <v>9.0549960824484792</v>
      </c>
      <c r="BK38" s="5">
        <v>7.3026422038730656</v>
      </c>
      <c r="BL38" s="5">
        <v>5.9965511029445864</v>
      </c>
      <c r="BM38" s="5">
        <v>5.0040725650078883</v>
      </c>
      <c r="BN38" s="5">
        <v>4.2375751046372132</v>
      </c>
      <c r="BO38" s="5">
        <v>11.673273835738867</v>
      </c>
      <c r="BP38" s="5">
        <v>9.4041409472286936</v>
      </c>
      <c r="BQ38" s="5">
        <v>7.7160345857075132</v>
      </c>
      <c r="BR38" s="5">
        <v>6.435067769613334</v>
      </c>
      <c r="BS38" s="5">
        <v>5.446830359978482</v>
      </c>
      <c r="BT38" s="5">
        <v>48.728508037574855</v>
      </c>
      <c r="BU38" s="5">
        <v>33.387614766347724</v>
      </c>
      <c r="BV38" s="5">
        <v>24.068078255397502</v>
      </c>
      <c r="BW38" s="5">
        <v>17.985738533551761</v>
      </c>
      <c r="BX38" s="5">
        <v>13.811942247828542</v>
      </c>
      <c r="BY38" s="8" t="s">
        <v>24</v>
      </c>
      <c r="BZ38" s="5">
        <v>158.79488880815202</v>
      </c>
      <c r="CA38" s="5">
        <v>66.668283823885972</v>
      </c>
      <c r="CB38" s="5">
        <v>38.636699729063999</v>
      </c>
      <c r="CC38" s="5">
        <v>25.503060489703223</v>
      </c>
      <c r="CE38" s="12">
        <v>7</v>
      </c>
      <c r="CF38" s="12">
        <v>7</v>
      </c>
      <c r="CG38" s="167">
        <v>7</v>
      </c>
      <c r="CH38" s="12">
        <v>7</v>
      </c>
      <c r="CI38" s="12">
        <v>10</v>
      </c>
      <c r="CJ38" s="46"/>
      <c r="CK38" s="46"/>
      <c r="CL38" s="46"/>
      <c r="CM38" s="46"/>
      <c r="CN38" s="46"/>
      <c r="CO38" s="136">
        <v>23.383739604997853</v>
      </c>
      <c r="CP38" s="136">
        <v>28.846648073144181</v>
      </c>
      <c r="CQ38" s="136">
        <v>35.223592790742146</v>
      </c>
      <c r="CR38" s="136">
        <v>42.62240484352975</v>
      </c>
      <c r="CS38" s="7"/>
      <c r="CT38" s="7"/>
      <c r="CU38" s="7"/>
      <c r="CV38" s="7"/>
      <c r="CW38" s="7"/>
      <c r="CX38" s="7"/>
      <c r="CY38" s="137"/>
      <c r="CZ38" s="137"/>
      <c r="DA38" s="137"/>
      <c r="DB38" s="137"/>
      <c r="DC38" s="101"/>
      <c r="DD38" s="40">
        <v>584.30247041324481</v>
      </c>
      <c r="DE38" s="40">
        <v>580.93536182583227</v>
      </c>
      <c r="DF38" s="40">
        <v>573.9464671306331</v>
      </c>
      <c r="DG38" s="40">
        <v>563.60408488409348</v>
      </c>
      <c r="DH38" s="40">
        <v>550.27414725053643</v>
      </c>
      <c r="DI38" s="40"/>
      <c r="DJ38" s="40"/>
      <c r="DK38" s="40"/>
      <c r="DL38" s="40"/>
      <c r="DM38" s="40"/>
      <c r="DN38" s="7"/>
      <c r="DO38" s="7"/>
      <c r="DP38" s="7"/>
      <c r="DQ38" s="7"/>
      <c r="DR38" s="7"/>
      <c r="DS38" s="7"/>
      <c r="DT38" s="7"/>
      <c r="DU38" s="78">
        <v>-0.3739519055465359</v>
      </c>
      <c r="DV38" s="78">
        <v>-4.8222108094275851E-2</v>
      </c>
      <c r="DW38" s="6">
        <v>4.676045295946718E-2</v>
      </c>
      <c r="DX38" s="6">
        <v>8.9538773736149713E-2</v>
      </c>
      <c r="DY38" s="172">
        <v>0.74827966735993134</v>
      </c>
      <c r="DZ38" s="138">
        <v>0.92309273834061378</v>
      </c>
      <c r="EA38" s="138">
        <v>1.1271549693037486</v>
      </c>
      <c r="EB38" s="138">
        <v>1.363916954992952</v>
      </c>
      <c r="EC38" s="78">
        <v>2.2860849999999999E-2</v>
      </c>
      <c r="ED38" s="6">
        <v>0.16865670000000002</v>
      </c>
      <c r="EE38" s="194">
        <v>-0.1407408</v>
      </c>
      <c r="EF38" s="363">
        <v>0.21293735469285835</v>
      </c>
      <c r="EG38" s="175" t="s">
        <v>24</v>
      </c>
      <c r="EH38" s="363" t="s">
        <v>24</v>
      </c>
      <c r="EI38" s="6" t="s">
        <v>24</v>
      </c>
      <c r="EJ38" s="363" t="s">
        <v>24</v>
      </c>
      <c r="EK38" s="6" t="s">
        <v>24</v>
      </c>
      <c r="EL38" s="194">
        <v>4.676045295946718E-2</v>
      </c>
      <c r="EM38" s="6">
        <v>0.21958811322584948</v>
      </c>
      <c r="EN38" s="194" t="s">
        <v>24</v>
      </c>
      <c r="EO38">
        <v>1465.6906240000001</v>
      </c>
    </row>
    <row r="39" spans="2:145" outlineLevel="1" x14ac:dyDescent="0.25">
      <c r="B39" t="s">
        <v>78</v>
      </c>
      <c r="D39" s="38" t="s">
        <v>150</v>
      </c>
      <c r="E39">
        <v>2</v>
      </c>
      <c r="F39" s="186">
        <v>46120</v>
      </c>
      <c r="G39" s="147"/>
      <c r="H39" s="225">
        <v>386.54998779296875</v>
      </c>
      <c r="I39" s="25">
        <v>12230</v>
      </c>
      <c r="J39" s="25">
        <v>-126843</v>
      </c>
      <c r="K39" s="2">
        <v>66967</v>
      </c>
      <c r="L39" s="2"/>
      <c r="M39" s="80">
        <v>-59876</v>
      </c>
      <c r="N39" s="80">
        <v>4667630.3507080078</v>
      </c>
      <c r="O39" s="3">
        <v>282836</v>
      </c>
      <c r="P39" s="3">
        <v>307394</v>
      </c>
      <c r="Q39" s="3">
        <v>350018</v>
      </c>
      <c r="R39" s="3">
        <v>402836</v>
      </c>
      <c r="S39" s="3">
        <v>474201.18717150099</v>
      </c>
      <c r="T39" s="3">
        <v>547000.06537704926</v>
      </c>
      <c r="U39" s="3">
        <v>627861.63469972694</v>
      </c>
      <c r="V39" s="3">
        <v>715818.21273059095</v>
      </c>
      <c r="W39" s="3">
        <v>803490.67715293309</v>
      </c>
      <c r="X39" s="135">
        <v>0.55379442503783116</v>
      </c>
      <c r="Y39" s="135">
        <v>0.56625047984020505</v>
      </c>
      <c r="Z39" s="135">
        <v>0.58200435406179107</v>
      </c>
      <c r="AA39" s="135">
        <v>0.59652315086039975</v>
      </c>
      <c r="AB39" s="135">
        <v>0.60130016647638762</v>
      </c>
      <c r="AC39" s="135">
        <v>0.60309318982370008</v>
      </c>
      <c r="AD39" s="135">
        <v>0.6068193443567802</v>
      </c>
      <c r="AE39" s="135">
        <v>0.61614805858682919</v>
      </c>
      <c r="AF39" s="135">
        <v>0.62285470638040685</v>
      </c>
      <c r="AG39" s="146">
        <v>156633</v>
      </c>
      <c r="AH39" s="146">
        <v>174062</v>
      </c>
      <c r="AI39" s="146">
        <v>203712</v>
      </c>
      <c r="AJ39" s="146">
        <v>240301</v>
      </c>
      <c r="AK39" s="146">
        <v>285137.25278952421</v>
      </c>
      <c r="AL39" s="146">
        <v>329892.01426201715</v>
      </c>
      <c r="AM39" s="146">
        <v>380998.58551526454</v>
      </c>
      <c r="AN39" s="146">
        <v>441050.00207504752</v>
      </c>
      <c r="AO39" s="146">
        <v>500457.94979748444</v>
      </c>
      <c r="AP39" s="148">
        <v>4.5574891709096432</v>
      </c>
      <c r="AQ39" s="148">
        <v>5.800581669548813</v>
      </c>
      <c r="AR39" s="148">
        <v>8.0435446292279256</v>
      </c>
      <c r="AS39" s="148">
        <v>10.807031888798038</v>
      </c>
      <c r="AT39" s="148">
        <v>10.430842612585375</v>
      </c>
      <c r="AU39" s="148">
        <v>12.047232794126748</v>
      </c>
      <c r="AV39" s="148">
        <v>14.17434089422596</v>
      </c>
      <c r="AW39" s="11">
        <v>17.360857136679424</v>
      </c>
      <c r="AX39" s="11">
        <v>20.696307532016668</v>
      </c>
      <c r="AY39" s="225">
        <v>4.9626111406641842</v>
      </c>
      <c r="AZ39" s="225">
        <v>5.9682439867945289</v>
      </c>
      <c r="BA39" s="225">
        <v>7.7855708202779788</v>
      </c>
      <c r="BB39" s="225">
        <v>8.6659035159443984</v>
      </c>
      <c r="BC39" s="225">
        <v>10.430842612585376</v>
      </c>
      <c r="BD39" s="225">
        <v>12.047232794126749</v>
      </c>
      <c r="BE39" s="225">
        <v>14.17434089422596</v>
      </c>
      <c r="BF39" s="227">
        <v>17.360857136679428</v>
      </c>
      <c r="BG39" s="227">
        <v>20.696307532016672</v>
      </c>
      <c r="BH39" s="5">
        <v>13.335400895691102</v>
      </c>
      <c r="BI39" s="5">
        <v>11.586924581487274</v>
      </c>
      <c r="BJ39" s="5">
        <v>9.8431435369222289</v>
      </c>
      <c r="BK39" s="5">
        <v>8.5331440454044412</v>
      </c>
      <c r="BL39" s="5">
        <v>7.4341703533777608</v>
      </c>
      <c r="BM39" s="5">
        <v>6.5206923597300834</v>
      </c>
      <c r="BN39" s="5">
        <v>5.8091904280049169</v>
      </c>
      <c r="BO39" s="5">
        <v>16.369766858045192</v>
      </c>
      <c r="BP39" s="5">
        <v>14.148964354744084</v>
      </c>
      <c r="BQ39" s="5">
        <v>12.251043778536552</v>
      </c>
      <c r="BR39" s="5">
        <v>10.582995870644572</v>
      </c>
      <c r="BS39" s="5">
        <v>9.3267183638441811</v>
      </c>
      <c r="BT39" s="5">
        <v>37.058366437872941</v>
      </c>
      <c r="BU39" s="5">
        <v>32.086205554309466</v>
      </c>
      <c r="BV39" s="5">
        <v>27.271108454180979</v>
      </c>
      <c r="BW39" s="5">
        <v>22.265605018791334</v>
      </c>
      <c r="BX39" s="5">
        <v>18.677244102359111</v>
      </c>
      <c r="BY39" s="199">
        <v>37.058366437872934</v>
      </c>
      <c r="BZ39" s="5">
        <v>32.086205554309458</v>
      </c>
      <c r="CA39" s="5">
        <v>27.271108454180979</v>
      </c>
      <c r="CB39" s="5">
        <v>22.26560501879133</v>
      </c>
      <c r="CC39" s="5">
        <v>18.677244102359108</v>
      </c>
      <c r="CE39" s="12">
        <v>24</v>
      </c>
      <c r="CF39" s="12">
        <v>24</v>
      </c>
      <c r="CG39" s="167">
        <v>24</v>
      </c>
      <c r="CH39" s="12">
        <v>24</v>
      </c>
      <c r="CI39" s="12">
        <v>24</v>
      </c>
      <c r="CJ39" s="46"/>
      <c r="CK39" s="46"/>
      <c r="CL39" s="46"/>
      <c r="CM39" s="46"/>
      <c r="CN39" s="46"/>
      <c r="CO39" s="19">
        <v>289.13358705904199</v>
      </c>
      <c r="CP39" s="19">
        <v>340.18418146142301</v>
      </c>
      <c r="CQ39" s="19">
        <v>416.66057128030627</v>
      </c>
      <c r="CR39" s="19">
        <v>496.71138076840009</v>
      </c>
      <c r="CS39" s="7"/>
      <c r="CT39" s="7"/>
      <c r="CU39" s="7"/>
      <c r="CV39" s="7"/>
      <c r="CW39" s="7"/>
      <c r="CX39" s="7"/>
      <c r="CY39" s="41"/>
      <c r="CZ39" s="41"/>
      <c r="DA39" s="41"/>
      <c r="DB39" s="41"/>
      <c r="DC39" s="19"/>
      <c r="DD39" s="40">
        <v>12230</v>
      </c>
      <c r="DE39" s="40">
        <v>12230</v>
      </c>
      <c r="DF39" s="40">
        <v>12155.112426872223</v>
      </c>
      <c r="DG39" s="40">
        <v>11921.289721704206</v>
      </c>
      <c r="DH39" s="40">
        <v>11635.202033606465</v>
      </c>
      <c r="DI39" s="40"/>
      <c r="DJ39" s="40"/>
      <c r="DK39" s="40"/>
      <c r="DL39" s="40"/>
      <c r="DM39" s="40"/>
      <c r="DN39" s="7"/>
      <c r="DO39" s="7"/>
      <c r="DP39" s="7">
        <v>0.83</v>
      </c>
      <c r="DQ39" s="7">
        <v>0.83</v>
      </c>
      <c r="DR39" s="7">
        <v>0.83</v>
      </c>
      <c r="DS39" s="7">
        <v>0.83</v>
      </c>
      <c r="DT39" s="7">
        <v>0.83</v>
      </c>
      <c r="DU39" s="78">
        <v>-0.37255303846356624</v>
      </c>
      <c r="DV39" s="78">
        <v>-7.3626554274916045E-2</v>
      </c>
      <c r="DW39" s="6">
        <v>3.1099676685134803E-2</v>
      </c>
      <c r="DX39" s="6">
        <v>7.3526555737224886E-2</v>
      </c>
      <c r="DY39" s="171">
        <v>0.75013218526950975</v>
      </c>
      <c r="DZ39" s="132">
        <v>0.88434663628681931</v>
      </c>
      <c r="EA39" s="132">
        <v>1.0843373031091594</v>
      </c>
      <c r="EB39" s="132">
        <v>1.2935749490599142</v>
      </c>
      <c r="EC39" s="78">
        <v>0.13892160000000001</v>
      </c>
      <c r="ED39" s="6">
        <v>0.2733891</v>
      </c>
      <c r="EE39" s="194">
        <v>0.31932830000000001</v>
      </c>
      <c r="EF39" s="363">
        <v>0.14514317187255221</v>
      </c>
      <c r="EG39" s="188">
        <v>3.1723403209585666E-2</v>
      </c>
      <c r="EH39" s="188">
        <v>0.17686657508213788</v>
      </c>
      <c r="EI39" s="6">
        <v>1.3690976834106527E-2</v>
      </c>
      <c r="EJ39" s="363">
        <v>0.19055755191624441</v>
      </c>
      <c r="EK39" s="6">
        <v>-0.1594578752311096</v>
      </c>
      <c r="EL39" s="194">
        <v>3.1099676685134803E-2</v>
      </c>
      <c r="EM39" s="6">
        <v>0.15649729813554725</v>
      </c>
      <c r="EN39" s="235">
        <v>0.18508797187253045</v>
      </c>
      <c r="EO39">
        <v>2484.7326720000001</v>
      </c>
    </row>
    <row r="40" spans="2:145" ht="15" customHeight="1" outlineLevel="1" x14ac:dyDescent="0.25">
      <c r="B40" s="9" t="s">
        <v>49</v>
      </c>
      <c r="C40" s="9"/>
      <c r="D40" s="38" t="s">
        <v>153</v>
      </c>
      <c r="F40" s="186">
        <v>46119</v>
      </c>
      <c r="G40" s="147"/>
      <c r="H40" s="373">
        <v>68.050003051757813</v>
      </c>
      <c r="I40" s="3">
        <v>121.849</v>
      </c>
      <c r="J40" s="355"/>
      <c r="K40" s="370"/>
      <c r="L40" s="3"/>
      <c r="M40" s="76">
        <v>0</v>
      </c>
      <c r="N40" s="76">
        <v>8291.8248218536373</v>
      </c>
      <c r="O40" s="3">
        <v>280.04000000000002</v>
      </c>
      <c r="P40" s="3">
        <v>349.88599999999997</v>
      </c>
      <c r="Q40" s="3">
        <v>428.488</v>
      </c>
      <c r="R40" s="3">
        <v>531.84</v>
      </c>
      <c r="S40" s="3">
        <v>665.41555203977373</v>
      </c>
      <c r="T40" s="3">
        <v>826.13258277577529</v>
      </c>
      <c r="U40" s="3">
        <v>1017.0983868649578</v>
      </c>
      <c r="V40" s="3">
        <v>1241.1345670872558</v>
      </c>
      <c r="W40" s="3">
        <v>1500.5795685611372</v>
      </c>
      <c r="X40" s="4">
        <v>0.83985144979288684</v>
      </c>
      <c r="Y40" s="4">
        <v>0.83739275078168318</v>
      </c>
      <c r="Z40" s="4">
        <v>0.83796045630216009</v>
      </c>
      <c r="AA40" s="4">
        <v>0.83345743080625756</v>
      </c>
      <c r="AB40" s="4">
        <v>0.82674118443047218</v>
      </c>
      <c r="AC40" s="4">
        <v>0.82153891563048254</v>
      </c>
      <c r="AD40" s="4">
        <v>0.81749486601276322</v>
      </c>
      <c r="AE40" s="4">
        <v>0.81433688213338518</v>
      </c>
      <c r="AF40" s="4">
        <v>0.81185808495117806</v>
      </c>
      <c r="AG40" s="144">
        <v>235.19200000000004</v>
      </c>
      <c r="AH40" s="144">
        <v>292.99199999999996</v>
      </c>
      <c r="AI40" s="144">
        <v>359.05599999999998</v>
      </c>
      <c r="AJ40" s="144">
        <v>443.26600000000002</v>
      </c>
      <c r="AK40" s="144">
        <v>550.12644163181903</v>
      </c>
      <c r="AL40" s="144">
        <v>678.70006622062033</v>
      </c>
      <c r="AM40" s="144">
        <v>831.47270949196627</v>
      </c>
      <c r="AN40" s="144">
        <v>1010.7016536698047</v>
      </c>
      <c r="AO40" s="144">
        <v>1218.2576548489099</v>
      </c>
      <c r="AP40" s="371">
        <v>3.5418991216776712E-2</v>
      </c>
      <c r="AQ40" s="371">
        <v>0.51477075747709355</v>
      </c>
      <c r="AR40" s="371">
        <v>0.64781767548387659</v>
      </c>
      <c r="AS40" s="371">
        <v>0.82052376301816266</v>
      </c>
      <c r="AT40" s="371">
        <v>0.97873872751853797</v>
      </c>
      <c r="AU40" s="371">
        <v>1.3183562165203631</v>
      </c>
      <c r="AV40" s="371">
        <v>1.7754966780071457</v>
      </c>
      <c r="AW40" s="371">
        <v>2.378892360468583</v>
      </c>
      <c r="AX40" s="371">
        <v>3.162258959832029</v>
      </c>
      <c r="AY40" s="145">
        <v>-0.6193745887334422</v>
      </c>
      <c r="AZ40" s="145">
        <v>-0.35809342125778487</v>
      </c>
      <c r="BA40" s="145">
        <v>-0.48959372587123834</v>
      </c>
      <c r="BB40" s="145">
        <v>-0.46514128142208722</v>
      </c>
      <c r="BC40" s="145">
        <v>-0.30251127248146203</v>
      </c>
      <c r="BD40" s="145">
        <v>-0.11451466176657742</v>
      </c>
      <c r="BE40" s="145">
        <v>0.17248503127951523</v>
      </c>
      <c r="BF40" s="145">
        <v>0.58446618761991076</v>
      </c>
      <c r="BG40" s="145">
        <v>1.1519036815050219</v>
      </c>
      <c r="BH40" s="5">
        <v>19.351358315410554</v>
      </c>
      <c r="BI40" s="5">
        <v>15.590825853364992</v>
      </c>
      <c r="BJ40" s="5">
        <v>12.461122672044208</v>
      </c>
      <c r="BK40" s="5">
        <v>10.036917795922548</v>
      </c>
      <c r="BL40" s="5">
        <v>8.1524313959555617</v>
      </c>
      <c r="BM40" s="5">
        <v>6.6808427077437891</v>
      </c>
      <c r="BN40" s="5">
        <v>5.5257481812873346</v>
      </c>
      <c r="BO40" s="5">
        <v>15.072580036796476</v>
      </c>
      <c r="BP40" s="5">
        <v>12.217215283368295</v>
      </c>
      <c r="BQ40" s="5">
        <v>9.9724557729862013</v>
      </c>
      <c r="BR40" s="5">
        <v>8.2040281538537663</v>
      </c>
      <c r="BS40" s="5">
        <v>6.8062981495338946</v>
      </c>
      <c r="BT40" s="5">
        <v>69.528262383455044</v>
      </c>
      <c r="BU40" s="5">
        <v>51.617311162962707</v>
      </c>
      <c r="BV40" s="5">
        <v>38.32730519560225</v>
      </c>
      <c r="BW40" s="5">
        <v>28.60575122379797</v>
      </c>
      <c r="BX40" s="5">
        <v>21.519427699043487</v>
      </c>
      <c r="BY40" s="8" t="s">
        <v>24</v>
      </c>
      <c r="BZ40" s="5" t="s">
        <v>24</v>
      </c>
      <c r="CA40" s="5">
        <v>394.52700647096447</v>
      </c>
      <c r="CB40" s="5">
        <v>116.43103483688948</v>
      </c>
      <c r="CC40" s="5">
        <v>59.076122547717667</v>
      </c>
      <c r="CE40" s="12">
        <v>7</v>
      </c>
      <c r="CF40" s="12">
        <v>7</v>
      </c>
      <c r="CG40" s="168">
        <v>7</v>
      </c>
      <c r="CH40" s="82">
        <v>7</v>
      </c>
      <c r="CI40" s="82">
        <v>6</v>
      </c>
      <c r="CJ40" s="46"/>
      <c r="CK40" s="46"/>
      <c r="CL40" s="46"/>
      <c r="CM40" s="46"/>
      <c r="CN40" s="46"/>
      <c r="CO40" s="356">
        <v>45.081324632093754</v>
      </c>
      <c r="CP40" s="356">
        <v>55.65952459050601</v>
      </c>
      <c r="CQ40" s="356">
        <v>68.487062043959824</v>
      </c>
      <c r="CR40" s="356">
        <v>83.98903842312339</v>
      </c>
      <c r="CS40" s="7"/>
      <c r="CT40" s="357"/>
      <c r="CU40" s="357"/>
      <c r="CV40" s="357"/>
      <c r="CW40" s="357"/>
      <c r="CX40" s="357"/>
      <c r="CY40" s="41"/>
      <c r="CZ40" s="41"/>
      <c r="DA40" s="41"/>
      <c r="DB40" s="41"/>
      <c r="DC40" s="19"/>
      <c r="DD40" s="40">
        <v>128</v>
      </c>
      <c r="DE40" s="40">
        <v>128.27768763727752</v>
      </c>
      <c r="DF40" s="40">
        <v>127.915011140234</v>
      </c>
      <c r="DG40" s="40">
        <v>126.85522944515063</v>
      </c>
      <c r="DH40" s="40">
        <v>125.06461768272897</v>
      </c>
      <c r="DI40" s="40"/>
      <c r="DJ40" s="40"/>
      <c r="DK40" s="40"/>
      <c r="DL40" s="40"/>
      <c r="DM40" s="40"/>
      <c r="DN40" s="7"/>
      <c r="DO40" s="7"/>
      <c r="DP40" s="357"/>
      <c r="DQ40" s="357"/>
      <c r="DR40" s="357"/>
      <c r="DS40" s="357"/>
      <c r="DT40" s="357"/>
      <c r="DU40" s="78">
        <v>-0.48574414372095442</v>
      </c>
      <c r="DV40" s="78">
        <v>-0.11673552772590101</v>
      </c>
      <c r="DW40" s="6">
        <v>2.4472978616403296E-3</v>
      </c>
      <c r="DX40" s="6">
        <v>5.9870543218874639E-2</v>
      </c>
      <c r="DY40" s="171">
        <v>0.66247351374555519</v>
      </c>
      <c r="DZ40" s="132">
        <v>0.81792097126244367</v>
      </c>
      <c r="EA40" s="132">
        <v>1.0064226153211131</v>
      </c>
      <c r="EB40" s="132">
        <v>1.2342253439613013</v>
      </c>
      <c r="EC40" s="78">
        <v>0.54238439999999999</v>
      </c>
      <c r="ED40" s="6">
        <v>0.35315170000000001</v>
      </c>
      <c r="EE40" s="194">
        <v>0.11814</v>
      </c>
      <c r="EF40" s="363">
        <v>0.22679692258853712</v>
      </c>
      <c r="EG40" s="175" t="s">
        <v>24</v>
      </c>
      <c r="EH40" s="363" t="s">
        <v>24</v>
      </c>
      <c r="EI40" s="6" t="s">
        <v>24</v>
      </c>
      <c r="EJ40" s="363" t="s">
        <v>24</v>
      </c>
      <c r="EK40" s="6" t="s">
        <v>24</v>
      </c>
      <c r="EL40" s="194">
        <v>2.4472978616403296E-3</v>
      </c>
      <c r="EM40" s="6">
        <v>0.2247670261647936</v>
      </c>
      <c r="EN40" s="194" t="s">
        <v>24</v>
      </c>
      <c r="EO40">
        <v>175.185552</v>
      </c>
    </row>
    <row r="41" spans="2:145" ht="15" customHeight="1" outlineLevel="1" x14ac:dyDescent="0.25">
      <c r="B41" s="10"/>
      <c r="C41" s="10"/>
      <c r="D41" s="161" t="s">
        <v>158</v>
      </c>
      <c r="E41" s="289">
        <v>2</v>
      </c>
      <c r="F41" s="143">
        <v>46119</v>
      </c>
      <c r="H41" s="149">
        <v>419.92999267578125</v>
      </c>
      <c r="I41" s="25">
        <v>496.709</v>
      </c>
      <c r="J41" s="25">
        <v>-3652.3209999999999</v>
      </c>
      <c r="K41" s="2">
        <v>8591.7049999999999</v>
      </c>
      <c r="M41" s="76">
        <v>4939.384</v>
      </c>
      <c r="N41" s="89">
        <v>213522.39073199462</v>
      </c>
      <c r="O41" s="3">
        <v>12062.550666666666</v>
      </c>
      <c r="P41" s="3">
        <v>11825.808666666666</v>
      </c>
      <c r="Q41" s="3">
        <v>9692.5820000000003</v>
      </c>
      <c r="R41" s="3">
        <v>11391.573723820045</v>
      </c>
      <c r="S41" s="3">
        <v>13652.819976495834</v>
      </c>
      <c r="T41" s="3">
        <v>15832.058961771027</v>
      </c>
      <c r="U41" s="3">
        <v>16861.142794286141</v>
      </c>
      <c r="V41" s="3">
        <v>17957.117075914739</v>
      </c>
      <c r="W41" s="3">
        <v>19124.329685849196</v>
      </c>
      <c r="X41" s="21">
        <v>0.73416385235494153</v>
      </c>
      <c r="Y41" s="21">
        <v>0.71914229346852854</v>
      </c>
      <c r="Z41" s="21">
        <v>0.68198358634813028</v>
      </c>
      <c r="AA41" s="21">
        <v>0.69524994832839904</v>
      </c>
      <c r="AB41" s="21">
        <v>0.70431791739188543</v>
      </c>
      <c r="AC41" s="21">
        <v>0.7106059293042053</v>
      </c>
      <c r="AD41" s="21">
        <v>0.71301026225746966</v>
      </c>
      <c r="AE41" s="21">
        <v>0.71526785188494812</v>
      </c>
      <c r="AF41" s="21">
        <v>0.71738765435206375</v>
      </c>
      <c r="AG41" s="144">
        <v>8855.8886666666676</v>
      </c>
      <c r="AH41" s="144">
        <v>8504.439166666667</v>
      </c>
      <c r="AI41" s="144">
        <v>6610.1818333333331</v>
      </c>
      <c r="AJ41" s="144">
        <v>7919.9910428650346</v>
      </c>
      <c r="AK41" s="144">
        <v>9615.9257323718757</v>
      </c>
      <c r="AL41" s="144">
        <v>11250.354971328272</v>
      </c>
      <c r="AM41" s="144">
        <v>12022.167845714606</v>
      </c>
      <c r="AN41" s="144">
        <v>12844.148556936056</v>
      </c>
      <c r="AO41" s="144">
        <v>13719.558014386896</v>
      </c>
      <c r="AP41" s="11">
        <v>9.6536192324330603</v>
      </c>
      <c r="AQ41" s="11">
        <v>9.4699005321248055</v>
      </c>
      <c r="AR41" s="11">
        <v>6.6150000000000002</v>
      </c>
      <c r="AS41" s="11">
        <v>8.185793262323271</v>
      </c>
      <c r="AT41" s="11">
        <v>10.648839486591106</v>
      </c>
      <c r="AU41" s="11">
        <v>13.346218346167658</v>
      </c>
      <c r="AV41" s="11">
        <v>15.019715424182962</v>
      </c>
      <c r="AW41" s="11">
        <v>16.794947190877917</v>
      </c>
      <c r="AX41" s="11">
        <v>18.828811530735685</v>
      </c>
      <c r="AY41" s="145">
        <v>9.6536192324330603</v>
      </c>
      <c r="AZ41" s="145">
        <v>9.4699005321248055</v>
      </c>
      <c r="BA41" s="145">
        <v>6.6150000000000002</v>
      </c>
      <c r="BB41" s="145">
        <v>8.185793262323271</v>
      </c>
      <c r="BC41" s="145">
        <v>10.648839486591106</v>
      </c>
      <c r="BD41" s="145">
        <v>13.346218346167658</v>
      </c>
      <c r="BE41" s="145">
        <v>15.019715424182962</v>
      </c>
      <c r="BF41" s="145">
        <v>16.794947190877917</v>
      </c>
      <c r="BG41" s="145">
        <v>18.828811530735685</v>
      </c>
      <c r="BH41" s="5">
        <v>22.029464463854378</v>
      </c>
      <c r="BI41" s="5">
        <v>18.743888764509713</v>
      </c>
      <c r="BJ41" s="5">
        <v>15.639435010465712</v>
      </c>
      <c r="BK41" s="5">
        <v>13.486710177594569</v>
      </c>
      <c r="BL41" s="5">
        <v>12.663577631544198</v>
      </c>
      <c r="BM41" s="5">
        <v>11.89068322210723</v>
      </c>
      <c r="BN41" s="5">
        <v>11.164960771931671</v>
      </c>
      <c r="BO41" s="5">
        <v>22.205079019399513</v>
      </c>
      <c r="BP41" s="5">
        <v>18.979169215207893</v>
      </c>
      <c r="BQ41" s="5">
        <v>17.760722814072697</v>
      </c>
      <c r="BR41" s="5">
        <v>16.624098497886724</v>
      </c>
      <c r="BS41" s="5">
        <v>15.563357836169811</v>
      </c>
      <c r="BT41" s="5">
        <v>39.434343357748247</v>
      </c>
      <c r="BU41" s="5">
        <v>31.464343065866547</v>
      </c>
      <c r="BV41" s="5">
        <v>27.958585153994317</v>
      </c>
      <c r="BW41" s="5">
        <v>25.003352967008073</v>
      </c>
      <c r="BX41" s="5">
        <v>22.302522492739275</v>
      </c>
      <c r="BY41" s="8">
        <v>39.434343357748247</v>
      </c>
      <c r="BZ41" s="5">
        <v>31.464343065866547</v>
      </c>
      <c r="CA41" s="5">
        <v>27.958585153994317</v>
      </c>
      <c r="CB41" s="5">
        <v>25.003352967008073</v>
      </c>
      <c r="CC41" s="5">
        <v>22.302522492739275</v>
      </c>
      <c r="CE41" s="12">
        <v>24</v>
      </c>
      <c r="CF41" s="12">
        <v>24</v>
      </c>
      <c r="CG41" s="167">
        <v>24</v>
      </c>
      <c r="CH41" s="12">
        <v>24</v>
      </c>
      <c r="CI41" s="82">
        <v>24</v>
      </c>
      <c r="CJ41" s="46"/>
      <c r="CK41" s="46"/>
      <c r="CL41" s="46"/>
      <c r="CM41" s="46"/>
      <c r="CN41" s="46"/>
      <c r="CO41" s="43">
        <v>320.30924030802379</v>
      </c>
      <c r="CP41" s="43">
        <v>360.47317018039109</v>
      </c>
      <c r="CQ41" s="43">
        <v>403.07873258106997</v>
      </c>
      <c r="CR41" s="43">
        <v>451.89147673765643</v>
      </c>
      <c r="CS41" s="7"/>
      <c r="CT41" s="7"/>
      <c r="CU41" s="7"/>
      <c r="CV41" s="7"/>
      <c r="CW41" s="7"/>
      <c r="CX41" s="7"/>
      <c r="CY41" s="19"/>
      <c r="CZ41" s="19"/>
      <c r="DA41" s="19"/>
      <c r="DB41" s="19"/>
      <c r="DC41" s="19"/>
      <c r="DD41" s="40">
        <v>489.01211480926463</v>
      </c>
      <c r="DE41" s="197">
        <v>476.34739597221483</v>
      </c>
      <c r="DF41" s="197">
        <v>459.37804965057353</v>
      </c>
      <c r="DG41" s="197">
        <v>441.93829100825155</v>
      </c>
      <c r="DH41" s="197">
        <v>427.07412499075235</v>
      </c>
      <c r="DI41" s="40">
        <v>5139.384</v>
      </c>
      <c r="DJ41" s="40">
        <v>5339.384</v>
      </c>
      <c r="DK41" s="40">
        <v>7387.9713703884418</v>
      </c>
      <c r="DL41" s="40">
        <v>7992.7683378063484</v>
      </c>
      <c r="DM41" s="40">
        <v>8641.1126470411709</v>
      </c>
      <c r="DN41" s="7"/>
      <c r="DO41" s="7"/>
      <c r="DP41" s="7">
        <v>4.3503166666666679</v>
      </c>
      <c r="DQ41" s="7">
        <v>4.7853483333333351</v>
      </c>
      <c r="DR41" s="7">
        <v>5.2638831666666688</v>
      </c>
      <c r="DS41" s="7">
        <v>5.7902714833333357</v>
      </c>
      <c r="DT41" s="7">
        <v>6.3692986316666698</v>
      </c>
      <c r="DU41" s="78">
        <v>-0.34546547584122755</v>
      </c>
      <c r="DV41" s="78">
        <v>-7.8365269474657051E-2</v>
      </c>
      <c r="DW41" s="6">
        <v>-3.7467089050701174E-3</v>
      </c>
      <c r="DX41" s="6">
        <v>3.1871233482350103E-2</v>
      </c>
      <c r="DY41" s="171">
        <v>0.77312781329566282</v>
      </c>
      <c r="DZ41" s="132">
        <v>0.88016774611704862</v>
      </c>
      <c r="EA41" s="132">
        <v>0.99416161748194665</v>
      </c>
      <c r="EB41" s="132">
        <v>1.1241904713201567</v>
      </c>
      <c r="EC41" s="78">
        <v>0.13067700000000002</v>
      </c>
      <c r="ED41" s="6">
        <v>0.21630469999999999</v>
      </c>
      <c r="EE41" s="194">
        <v>0.80874250000000003</v>
      </c>
      <c r="EF41" s="363">
        <v>8.5562562580537405E-2</v>
      </c>
      <c r="EG41" s="6">
        <v>2.457328554708349E-2</v>
      </c>
      <c r="EH41" s="363">
        <v>0.11013584812762089</v>
      </c>
      <c r="EI41" s="6">
        <v>5.0721853829207963E-2</v>
      </c>
      <c r="EJ41" s="363">
        <v>0.16085770195682886</v>
      </c>
      <c r="EK41" s="6">
        <v>-0.16460441086189898</v>
      </c>
      <c r="EL41" s="194">
        <v>-3.7467089050701174E-3</v>
      </c>
      <c r="EM41" s="6">
        <v>0.10129771936488186</v>
      </c>
      <c r="EN41" s="194">
        <v>0.1640155639375338</v>
      </c>
    </row>
    <row r="42" spans="2:145" x14ac:dyDescent="0.25">
      <c r="B42" s="10"/>
      <c r="C42" s="10"/>
      <c r="D42" s="38" t="s">
        <v>149</v>
      </c>
      <c r="F42" s="186"/>
      <c r="G42" s="147"/>
      <c r="H42" s="149"/>
      <c r="I42" s="3"/>
      <c r="J42" s="25"/>
      <c r="K42" s="3"/>
      <c r="L42" s="3"/>
      <c r="M42" s="76"/>
      <c r="N42" s="76"/>
      <c r="O42" s="3"/>
      <c r="P42" s="3"/>
      <c r="Q42" s="3"/>
      <c r="R42" s="3"/>
      <c r="S42" s="3"/>
      <c r="T42" s="3"/>
      <c r="U42" s="3"/>
      <c r="V42" s="3"/>
      <c r="W42" s="3"/>
      <c r="X42" s="21"/>
      <c r="Y42" s="21"/>
      <c r="Z42" s="21"/>
      <c r="AA42" s="21"/>
      <c r="AB42" s="21"/>
      <c r="AC42" s="21"/>
      <c r="AD42" s="21"/>
      <c r="AE42" s="21"/>
      <c r="AF42" s="21"/>
      <c r="AG42" s="144"/>
      <c r="AH42" s="144"/>
      <c r="AI42" s="144"/>
      <c r="AJ42" s="144"/>
      <c r="AK42" s="144"/>
      <c r="AL42" s="144"/>
      <c r="AM42" s="144"/>
      <c r="AN42" s="144"/>
      <c r="AO42" s="144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199"/>
      <c r="BZ42" s="229"/>
      <c r="CA42" s="5"/>
      <c r="CB42" s="5"/>
      <c r="CC42" s="5"/>
      <c r="CE42" s="12"/>
      <c r="CF42" s="12"/>
      <c r="CG42" s="167"/>
      <c r="CH42" s="12"/>
      <c r="CI42" s="82"/>
      <c r="CJ42" s="46"/>
      <c r="CK42" s="46"/>
      <c r="CL42" s="46"/>
      <c r="CM42" s="46"/>
      <c r="CN42" s="46"/>
      <c r="CO42" s="176"/>
      <c r="CP42" s="176"/>
      <c r="CQ42" s="176"/>
      <c r="CR42" s="176"/>
      <c r="CS42" s="7"/>
      <c r="CT42" s="7"/>
      <c r="CU42" s="7"/>
      <c r="CV42" s="7"/>
      <c r="CW42" s="7"/>
      <c r="CX42" s="7"/>
      <c r="CY42" s="41"/>
      <c r="CZ42" s="41"/>
      <c r="DA42" s="41"/>
      <c r="DB42" s="41"/>
      <c r="DC42" s="19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7"/>
      <c r="DO42" s="7"/>
      <c r="DP42" s="7"/>
      <c r="DQ42" s="7"/>
      <c r="DR42" s="7"/>
      <c r="DS42" s="7"/>
      <c r="DT42" s="7"/>
      <c r="DU42" s="78"/>
      <c r="DV42" s="78"/>
      <c r="DW42" s="6"/>
      <c r="DX42" s="6"/>
      <c r="DY42" s="171"/>
      <c r="DZ42" s="132"/>
      <c r="EA42" s="132"/>
      <c r="EB42" s="132"/>
      <c r="EC42" s="78"/>
      <c r="ED42" s="6"/>
      <c r="EE42" s="194"/>
      <c r="EF42" s="363"/>
      <c r="EG42" s="189"/>
      <c r="EH42" s="365"/>
      <c r="EI42" s="189"/>
      <c r="EJ42" s="365"/>
      <c r="EK42" s="189"/>
      <c r="EL42" s="194"/>
      <c r="EM42" s="6"/>
      <c r="EN42" s="235"/>
    </row>
    <row r="43" spans="2:145" x14ac:dyDescent="0.25">
      <c r="B43" s="10" t="s">
        <v>170</v>
      </c>
      <c r="C43" s="10"/>
      <c r="D43" s="142"/>
      <c r="E43" s="290"/>
      <c r="F43" s="143"/>
      <c r="G43" s="147"/>
      <c r="H43" s="149"/>
      <c r="I43" s="3"/>
      <c r="J43" s="25"/>
      <c r="K43" s="3"/>
      <c r="L43" s="3"/>
      <c r="M43" s="76"/>
      <c r="N43" s="76"/>
      <c r="O43" s="3"/>
      <c r="P43" s="3"/>
      <c r="Q43" s="3"/>
      <c r="R43" s="3"/>
      <c r="S43" s="3"/>
      <c r="T43" s="3"/>
      <c r="U43" s="3"/>
      <c r="V43" s="3"/>
      <c r="W43" s="3"/>
      <c r="X43" s="21"/>
      <c r="Y43" s="21"/>
      <c r="Z43" s="21"/>
      <c r="AA43" s="21"/>
      <c r="AB43" s="21"/>
      <c r="AC43" s="21"/>
      <c r="AD43" s="21"/>
      <c r="AE43" s="21"/>
      <c r="AF43" s="21"/>
      <c r="AG43" s="144"/>
      <c r="AH43" s="144"/>
      <c r="AI43" s="144"/>
      <c r="AJ43" s="144"/>
      <c r="AK43" s="144"/>
      <c r="AL43" s="144"/>
      <c r="AM43" s="144"/>
      <c r="AN43" s="144"/>
      <c r="AO43" s="144"/>
      <c r="AP43" s="11"/>
      <c r="AQ43" s="11"/>
      <c r="AR43" s="11"/>
      <c r="AS43" s="11"/>
      <c r="AT43" s="11"/>
      <c r="AU43" s="11"/>
      <c r="AV43" s="11"/>
      <c r="AW43" s="11"/>
      <c r="AX43" s="11"/>
      <c r="AY43" s="75"/>
      <c r="AZ43" s="75"/>
      <c r="BA43" s="75"/>
      <c r="BB43" s="75"/>
      <c r="BC43" s="75"/>
      <c r="BD43" s="75"/>
      <c r="BE43" s="75"/>
      <c r="BF43" s="75"/>
      <c r="BG43" s="7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8"/>
      <c r="BZ43" s="5"/>
      <c r="CA43" s="5"/>
      <c r="CB43" s="5"/>
      <c r="CC43" s="5"/>
      <c r="CE43" s="12"/>
      <c r="CF43" s="12"/>
      <c r="CG43" s="287"/>
      <c r="CH43" s="12"/>
      <c r="CI43" s="12"/>
      <c r="CJ43" s="46"/>
      <c r="CK43" s="46"/>
      <c r="CL43" s="46"/>
      <c r="CM43" s="46"/>
      <c r="CN43" s="46"/>
      <c r="CO43" s="43"/>
      <c r="CP43" s="43"/>
      <c r="CQ43" s="43"/>
      <c r="CR43" s="43"/>
      <c r="CS43" s="7"/>
      <c r="CT43" s="7"/>
      <c r="CU43" s="7"/>
      <c r="CV43" s="7"/>
      <c r="CW43" s="7"/>
      <c r="CX43" s="7"/>
      <c r="CY43" s="41"/>
      <c r="CZ43" s="41"/>
      <c r="DA43" s="41"/>
      <c r="DB43" s="41"/>
      <c r="DC43" s="19"/>
      <c r="DD43" s="185"/>
      <c r="DE43" s="185"/>
      <c r="DF43" s="185"/>
      <c r="DG43" s="185"/>
      <c r="DH43" s="185"/>
      <c r="DI43" s="40"/>
      <c r="DJ43" s="40"/>
      <c r="DK43" s="40"/>
      <c r="DL43" s="40"/>
      <c r="DM43" s="40"/>
      <c r="DN43" s="7"/>
      <c r="DO43" s="7"/>
      <c r="DP43" s="7"/>
      <c r="DQ43" s="7"/>
      <c r="DR43" s="7"/>
      <c r="DS43" s="7"/>
      <c r="DT43" s="7"/>
      <c r="DU43" s="78"/>
      <c r="DV43" s="78"/>
      <c r="DW43" s="6"/>
      <c r="DX43" s="6"/>
      <c r="DY43" s="171"/>
      <c r="DZ43" s="132"/>
      <c r="EA43" s="132"/>
      <c r="EB43" s="132"/>
      <c r="EC43" s="78"/>
      <c r="ED43" s="6"/>
      <c r="EE43" s="194"/>
      <c r="EF43" s="363"/>
      <c r="EG43" s="175"/>
      <c r="EH43" s="363"/>
      <c r="EI43" s="6"/>
      <c r="EJ43" s="363"/>
      <c r="EK43" s="6"/>
      <c r="EL43" s="194"/>
      <c r="EM43" s="6"/>
      <c r="EN43" s="194"/>
      <c r="EO43">
        <v>756.07014400000003</v>
      </c>
    </row>
    <row r="44" spans="2:145" x14ac:dyDescent="0.25">
      <c r="B44" s="10" t="s">
        <v>179</v>
      </c>
      <c r="C44" s="10"/>
      <c r="D44" s="142" t="s">
        <v>152</v>
      </c>
      <c r="E44" s="290"/>
      <c r="F44" s="186"/>
      <c r="G44" s="147"/>
      <c r="H44" s="322"/>
      <c r="I44" s="316"/>
      <c r="J44" s="59"/>
      <c r="K44" s="59"/>
      <c r="L44" s="3"/>
      <c r="M44" s="80"/>
      <c r="N44" s="184"/>
      <c r="O44" s="316"/>
      <c r="P44" s="316"/>
      <c r="Q44" s="317"/>
      <c r="R44" s="317"/>
      <c r="S44" s="317"/>
      <c r="T44" s="317"/>
      <c r="U44" s="317"/>
      <c r="V44" s="317"/>
      <c r="W44" s="317"/>
      <c r="X44" s="313"/>
      <c r="Y44" s="313"/>
      <c r="Z44" s="313"/>
      <c r="AA44" s="313"/>
      <c r="AB44" s="313"/>
      <c r="AC44" s="313"/>
      <c r="AD44" s="313"/>
      <c r="AE44" s="313"/>
      <c r="AF44" s="313"/>
      <c r="AG44" s="144"/>
      <c r="AH44" s="144"/>
      <c r="AI44" s="144"/>
      <c r="AJ44" s="144"/>
      <c r="AK44" s="144"/>
      <c r="AL44" s="144"/>
      <c r="AM44" s="144"/>
      <c r="AN44" s="144"/>
      <c r="AO44" s="144"/>
      <c r="AP44" s="18"/>
      <c r="AQ44" s="18"/>
      <c r="AR44" s="18"/>
      <c r="AS44" s="318"/>
      <c r="AT44" s="318"/>
      <c r="AU44" s="318"/>
      <c r="AV44" s="318"/>
      <c r="AW44" s="318"/>
      <c r="AX44" s="318"/>
      <c r="AY44" s="145"/>
      <c r="AZ44" s="145"/>
      <c r="BA44" s="145"/>
      <c r="BB44" s="145"/>
      <c r="BC44" s="145"/>
      <c r="BD44" s="145"/>
      <c r="BE44" s="145"/>
      <c r="BF44" s="145"/>
      <c r="BG44" s="145"/>
      <c r="BH44" s="5"/>
      <c r="BI44" s="5"/>
      <c r="BJ44" s="5"/>
      <c r="BK44" s="5"/>
      <c r="BL44" s="5"/>
      <c r="BM44" s="5"/>
      <c r="BN44" s="5"/>
      <c r="BO44" s="228"/>
      <c r="BP44" s="5"/>
      <c r="BQ44" s="5"/>
      <c r="BR44" s="5"/>
      <c r="BS44" s="5"/>
      <c r="BT44" s="5"/>
      <c r="BU44" s="5"/>
      <c r="BV44" s="5"/>
      <c r="BW44" s="5"/>
      <c r="BX44" s="5"/>
      <c r="BY44" s="8"/>
      <c r="BZ44" s="5"/>
      <c r="CA44" s="5"/>
      <c r="CB44" s="5"/>
      <c r="CC44" s="5"/>
      <c r="CE44" s="319"/>
      <c r="CF44" s="319"/>
      <c r="CG44" s="287"/>
      <c r="CH44" s="319"/>
      <c r="CI44" s="319"/>
      <c r="CJ44" s="46"/>
      <c r="CK44" s="46"/>
      <c r="CL44" s="46"/>
      <c r="CM44" s="46"/>
      <c r="CN44" s="46"/>
      <c r="CO44" s="182"/>
      <c r="CP44" s="182"/>
      <c r="CQ44" s="182"/>
      <c r="CR44" s="182"/>
      <c r="CS44" s="7"/>
      <c r="CT44" s="7"/>
      <c r="CU44" s="7"/>
      <c r="CV44" s="7"/>
      <c r="CW44" s="7"/>
      <c r="CX44" s="7"/>
      <c r="CY44" s="41"/>
      <c r="CZ44" s="41"/>
      <c r="DA44" s="41"/>
      <c r="DB44" s="41"/>
      <c r="DC44" s="19"/>
      <c r="DD44" s="60"/>
      <c r="DE44" s="60"/>
      <c r="DF44" s="60"/>
      <c r="DG44" s="60"/>
      <c r="DH44" s="60"/>
      <c r="DI44" s="40"/>
      <c r="DJ44" s="40"/>
      <c r="DK44" s="40"/>
      <c r="DL44" s="40"/>
      <c r="DM44" s="40"/>
      <c r="DN44" s="7"/>
      <c r="DO44" s="7"/>
      <c r="DP44" s="320"/>
      <c r="DQ44" s="320"/>
      <c r="DR44" s="320"/>
      <c r="DS44" s="320"/>
      <c r="DT44" s="320"/>
      <c r="DU44" s="78"/>
      <c r="DV44" s="78"/>
      <c r="DW44" s="6"/>
      <c r="DX44" s="6"/>
      <c r="DY44" s="171"/>
      <c r="DZ44" s="132"/>
      <c r="EA44" s="132"/>
      <c r="EB44" s="132"/>
      <c r="EC44" s="78"/>
      <c r="ED44" s="6"/>
      <c r="EE44" s="194"/>
      <c r="EF44" s="363"/>
      <c r="EG44" s="175"/>
      <c r="EH44" s="363"/>
      <c r="EI44" s="6"/>
      <c r="EJ44" s="363"/>
      <c r="EK44" s="6"/>
      <c r="EL44" s="194"/>
      <c r="EM44" s="6"/>
      <c r="EN44" s="194"/>
      <c r="EO44">
        <v>263.28190000000001</v>
      </c>
    </row>
    <row r="45" spans="2:145" x14ac:dyDescent="0.25">
      <c r="B45" s="10" t="s">
        <v>175</v>
      </c>
      <c r="C45" s="10"/>
      <c r="D45" s="38"/>
      <c r="E45" s="291"/>
      <c r="F45" s="143"/>
      <c r="G45" s="147"/>
      <c r="H45" s="149"/>
      <c r="I45" s="39"/>
      <c r="J45" s="25"/>
      <c r="K45" s="2"/>
      <c r="L45" s="2"/>
      <c r="M45" s="76"/>
      <c r="N45" s="76"/>
      <c r="O45" s="3"/>
      <c r="P45" s="3"/>
      <c r="Q45" s="3"/>
      <c r="R45" s="3"/>
      <c r="S45" s="3"/>
      <c r="T45" s="3"/>
      <c r="U45" s="3"/>
      <c r="V45" s="3"/>
      <c r="W45" s="3"/>
      <c r="X45" s="4"/>
      <c r="Y45" s="4"/>
      <c r="Z45" s="4"/>
      <c r="AA45" s="4"/>
      <c r="AB45" s="4"/>
      <c r="AC45" s="4"/>
      <c r="AD45" s="4"/>
      <c r="AE45" s="4"/>
      <c r="AF45" s="4"/>
      <c r="AG45" s="146"/>
      <c r="AH45" s="146"/>
      <c r="AI45" s="146"/>
      <c r="AJ45" s="146"/>
      <c r="AK45" s="146"/>
      <c r="AL45" s="146"/>
      <c r="AM45" s="146"/>
      <c r="AN45" s="146"/>
      <c r="AO45" s="146"/>
      <c r="AP45" s="148"/>
      <c r="AQ45" s="148"/>
      <c r="AR45" s="148"/>
      <c r="AS45" s="148"/>
      <c r="AT45" s="148"/>
      <c r="AU45" s="148"/>
      <c r="AV45" s="148"/>
      <c r="AW45" s="11"/>
      <c r="AX45" s="11"/>
      <c r="AY45" s="148"/>
      <c r="AZ45" s="148"/>
      <c r="BA45" s="148"/>
      <c r="BB45" s="148"/>
      <c r="BC45" s="148"/>
      <c r="BD45" s="148"/>
      <c r="BE45" s="148"/>
      <c r="BF45" s="11"/>
      <c r="BG45" s="11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8"/>
      <c r="BZ45" s="5"/>
      <c r="CA45" s="5"/>
      <c r="CB45" s="5"/>
      <c r="CC45" s="5"/>
      <c r="CE45" s="12"/>
      <c r="CF45" s="12"/>
      <c r="CG45" s="167"/>
      <c r="CH45" s="12"/>
      <c r="CI45" s="12"/>
      <c r="CJ45" s="46"/>
      <c r="CK45" s="46"/>
      <c r="CL45" s="46"/>
      <c r="CM45" s="46"/>
      <c r="CN45" s="46"/>
      <c r="CO45" s="43"/>
      <c r="CP45" s="43"/>
      <c r="CQ45" s="43"/>
      <c r="CR45" s="43"/>
      <c r="CS45" s="7"/>
      <c r="CT45" s="7"/>
      <c r="CU45" s="7"/>
      <c r="CV45" s="7"/>
      <c r="CW45" s="7"/>
      <c r="CX45" s="7"/>
      <c r="CY45" s="101"/>
      <c r="CZ45" s="101"/>
      <c r="DA45" s="101"/>
      <c r="DB45" s="101"/>
      <c r="DC45" s="101"/>
      <c r="DD45" s="40"/>
      <c r="DE45" s="40"/>
      <c r="DF45" s="40"/>
      <c r="DG45" s="40"/>
      <c r="DH45" s="40"/>
      <c r="DI45" s="40"/>
      <c r="DJ45" s="40"/>
      <c r="DK45" s="40"/>
      <c r="DL45" s="40"/>
      <c r="DM45" s="40"/>
      <c r="DN45" s="7"/>
      <c r="DO45" s="7"/>
      <c r="DP45" s="7"/>
      <c r="DQ45" s="7"/>
      <c r="DR45" s="7"/>
      <c r="DS45" s="7"/>
      <c r="DT45" s="7"/>
      <c r="DU45" s="78"/>
      <c r="DV45" s="78"/>
      <c r="DW45" s="6"/>
      <c r="DX45" s="6"/>
      <c r="DY45" s="171"/>
      <c r="DZ45" s="132"/>
      <c r="EA45" s="132"/>
      <c r="EB45" s="132"/>
      <c r="EC45" s="78"/>
      <c r="ED45" s="6"/>
      <c r="EE45" s="194"/>
      <c r="EF45" s="363"/>
      <c r="EG45" s="175"/>
      <c r="EH45" s="363"/>
      <c r="EI45" s="6"/>
      <c r="EJ45" s="363"/>
      <c r="EK45" s="6"/>
      <c r="EL45" s="194"/>
      <c r="EM45" s="6"/>
      <c r="EN45" s="194"/>
      <c r="EO45">
        <v>1338.0255999999999</v>
      </c>
    </row>
    <row r="46" spans="2:145" x14ac:dyDescent="0.25">
      <c r="B46" s="10"/>
      <c r="C46" s="10"/>
      <c r="D46" s="142" t="s">
        <v>148</v>
      </c>
      <c r="E46" s="290"/>
      <c r="F46" s="143"/>
      <c r="H46" s="149"/>
      <c r="I46" s="25"/>
      <c r="J46" s="25"/>
      <c r="K46" s="2"/>
      <c r="M46" s="76"/>
      <c r="N46" s="89"/>
      <c r="O46" s="3"/>
      <c r="P46" s="3"/>
      <c r="Q46" s="3"/>
      <c r="R46" s="3"/>
      <c r="S46" s="3"/>
      <c r="T46" s="3"/>
      <c r="U46" s="3"/>
      <c r="V46" s="3"/>
      <c r="W46" s="3"/>
      <c r="X46" s="21"/>
      <c r="Y46" s="21"/>
      <c r="Z46" s="21"/>
      <c r="AA46" s="21"/>
      <c r="AB46" s="21"/>
      <c r="AC46" s="21"/>
      <c r="AD46" s="21"/>
      <c r="AE46" s="21"/>
      <c r="AF46" s="21"/>
      <c r="AG46" s="144"/>
      <c r="AH46" s="144"/>
      <c r="AI46" s="144"/>
      <c r="AJ46" s="144"/>
      <c r="AK46" s="144"/>
      <c r="AL46" s="144"/>
      <c r="AM46" s="144"/>
      <c r="AN46" s="144"/>
      <c r="AO46" s="144"/>
      <c r="AP46" s="11"/>
      <c r="AQ46" s="11"/>
      <c r="AR46" s="11"/>
      <c r="AS46" s="11"/>
      <c r="AT46" s="11"/>
      <c r="AU46" s="11"/>
      <c r="AV46" s="11"/>
      <c r="AW46" s="11"/>
      <c r="AX46" s="11"/>
      <c r="AY46" s="145"/>
      <c r="AZ46" s="145"/>
      <c r="BA46" s="145"/>
      <c r="BB46" s="145"/>
      <c r="BC46" s="145"/>
      <c r="BD46" s="145"/>
      <c r="BE46" s="145"/>
      <c r="BF46" s="145"/>
      <c r="BG46" s="14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8"/>
      <c r="BZ46" s="5"/>
      <c r="CA46" s="5"/>
      <c r="CB46" s="5"/>
      <c r="CC46" s="5"/>
      <c r="CE46" s="12"/>
      <c r="CF46" s="12"/>
      <c r="CG46" s="167"/>
      <c r="CH46" s="12"/>
      <c r="CI46" s="82"/>
      <c r="CJ46" s="46"/>
      <c r="CK46" s="46"/>
      <c r="CL46" s="46"/>
      <c r="CM46" s="46"/>
      <c r="CN46" s="46"/>
      <c r="CO46" s="43"/>
      <c r="CP46" s="43"/>
      <c r="CQ46" s="43"/>
      <c r="CR46" s="43"/>
      <c r="CS46" s="7"/>
      <c r="CT46" s="7"/>
      <c r="CU46" s="7"/>
      <c r="CV46" s="7"/>
      <c r="CW46" s="7"/>
      <c r="CX46" s="7"/>
      <c r="CY46" s="19"/>
      <c r="CZ46" s="19"/>
      <c r="DA46" s="19"/>
      <c r="DB46" s="19"/>
      <c r="DC46" s="19"/>
      <c r="DD46" s="60"/>
      <c r="DE46" s="60"/>
      <c r="DF46" s="60"/>
      <c r="DG46" s="60"/>
      <c r="DH46" s="60"/>
      <c r="DI46" s="40"/>
      <c r="DJ46" s="40"/>
      <c r="DK46" s="40"/>
      <c r="DL46" s="40"/>
      <c r="DM46" s="40"/>
      <c r="DN46" s="7"/>
      <c r="DO46" s="7"/>
      <c r="DP46" s="7"/>
      <c r="DQ46" s="7"/>
      <c r="DR46" s="7"/>
      <c r="DS46" s="7"/>
      <c r="DT46" s="7"/>
      <c r="DU46" s="78"/>
      <c r="DV46" s="78"/>
      <c r="DW46" s="6"/>
      <c r="DX46" s="6"/>
      <c r="DY46" s="171"/>
      <c r="DZ46" s="132"/>
      <c r="EA46" s="132"/>
      <c r="EB46" s="132"/>
      <c r="EC46" s="78"/>
      <c r="ED46" s="6"/>
      <c r="EE46" s="194"/>
      <c r="EF46" s="363"/>
      <c r="EG46" s="175"/>
      <c r="EH46" s="363"/>
      <c r="EI46" s="6"/>
      <c r="EJ46" s="363"/>
      <c r="EK46" s="6"/>
      <c r="EL46" s="194"/>
      <c r="EM46" s="6"/>
      <c r="EN46" s="194"/>
    </row>
    <row r="47" spans="2:145" x14ac:dyDescent="0.25">
      <c r="B47" s="10"/>
      <c r="C47" s="10"/>
      <c r="D47" s="142"/>
      <c r="E47" s="290"/>
      <c r="F47" s="143"/>
      <c r="G47" s="147"/>
      <c r="H47" s="149"/>
      <c r="I47" s="3"/>
      <c r="J47" s="25"/>
      <c r="K47" s="3"/>
      <c r="L47" s="3"/>
      <c r="M47" s="76"/>
      <c r="N47" s="76"/>
      <c r="O47" s="3"/>
      <c r="P47" s="3"/>
      <c r="Q47" s="3"/>
      <c r="R47" s="3"/>
      <c r="S47" s="3"/>
      <c r="T47" s="3"/>
      <c r="U47" s="3"/>
      <c r="V47" s="3"/>
      <c r="W47" s="3"/>
      <c r="X47" s="21"/>
      <c r="Y47" s="21"/>
      <c r="Z47" s="21"/>
      <c r="AA47" s="21"/>
      <c r="AB47" s="21"/>
      <c r="AC47" s="21"/>
      <c r="AD47" s="21"/>
      <c r="AE47" s="21"/>
      <c r="AF47" s="21"/>
      <c r="AG47" s="144"/>
      <c r="AH47" s="144"/>
      <c r="AI47" s="144"/>
      <c r="AJ47" s="144"/>
      <c r="AK47" s="144"/>
      <c r="AL47" s="144"/>
      <c r="AM47" s="144"/>
      <c r="AN47" s="144"/>
      <c r="AO47" s="144"/>
      <c r="AP47" s="11"/>
      <c r="AQ47" s="11"/>
      <c r="AR47" s="11"/>
      <c r="AS47" s="11"/>
      <c r="AT47" s="11"/>
      <c r="AU47" s="11"/>
      <c r="AV47" s="11"/>
      <c r="AW47" s="11"/>
      <c r="AX47" s="11"/>
      <c r="AY47" s="75"/>
      <c r="AZ47" s="75"/>
      <c r="BA47" s="75"/>
      <c r="BB47" s="75"/>
      <c r="BC47" s="75"/>
      <c r="BD47" s="75"/>
      <c r="BE47" s="75"/>
      <c r="BF47" s="75"/>
      <c r="BG47" s="7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8"/>
      <c r="BZ47" s="5"/>
      <c r="CA47" s="5"/>
      <c r="CB47" s="5"/>
      <c r="CC47" s="5"/>
      <c r="CE47" s="12"/>
      <c r="CF47" s="12"/>
      <c r="CG47" s="167"/>
      <c r="CH47" s="82"/>
      <c r="CI47" s="82"/>
      <c r="CJ47" s="46"/>
      <c r="CK47" s="46"/>
      <c r="CL47" s="46"/>
      <c r="CM47" s="46"/>
      <c r="CN47" s="46"/>
      <c r="CO47" s="43"/>
      <c r="CP47" s="43"/>
      <c r="CQ47" s="43"/>
      <c r="CR47" s="43"/>
      <c r="CS47" s="7"/>
      <c r="CT47" s="7"/>
      <c r="CU47" s="7"/>
      <c r="CV47" s="7"/>
      <c r="CW47" s="7"/>
      <c r="CX47" s="7"/>
      <c r="CY47" s="41"/>
      <c r="CZ47" s="41"/>
      <c r="DA47" s="41"/>
      <c r="DB47" s="41"/>
      <c r="DC47" s="19"/>
      <c r="DD47" s="185"/>
      <c r="DE47" s="185"/>
      <c r="DF47" s="185"/>
      <c r="DG47" s="185"/>
      <c r="DH47" s="185"/>
      <c r="DI47" s="40"/>
      <c r="DJ47" s="40"/>
      <c r="DK47" s="40"/>
      <c r="DL47" s="40"/>
      <c r="DM47" s="40"/>
      <c r="DN47" s="7"/>
      <c r="DO47" s="7"/>
      <c r="DP47" s="244"/>
      <c r="DQ47" s="244"/>
      <c r="DR47" s="244"/>
      <c r="DS47" s="244"/>
      <c r="DT47" s="244"/>
      <c r="DU47" s="78"/>
      <c r="DV47" s="78"/>
      <c r="DW47" s="6"/>
      <c r="DX47" s="6"/>
      <c r="DY47" s="171"/>
      <c r="DZ47" s="132"/>
      <c r="EA47" s="132"/>
      <c r="EB47" s="132"/>
      <c r="EC47" s="78"/>
      <c r="ED47" s="6"/>
      <c r="EE47" s="194"/>
      <c r="EF47" s="363"/>
      <c r="EG47" s="175"/>
      <c r="EH47" s="363"/>
      <c r="EI47" s="6"/>
      <c r="EJ47" s="363"/>
      <c r="EK47" s="6"/>
      <c r="EL47" s="194"/>
      <c r="EM47" s="6"/>
      <c r="EN47" s="194"/>
    </row>
    <row r="48" spans="2:145" x14ac:dyDescent="0.25">
      <c r="B48" s="10" t="s">
        <v>181</v>
      </c>
      <c r="C48" s="10"/>
      <c r="D48" s="38" t="s">
        <v>247</v>
      </c>
      <c r="F48" s="186"/>
      <c r="H48" s="149"/>
      <c r="I48" s="3"/>
      <c r="J48" s="25"/>
      <c r="K48" s="3"/>
      <c r="M48" s="76"/>
      <c r="N48" s="76"/>
      <c r="O48" s="3"/>
      <c r="P48" s="3"/>
      <c r="Q48" s="3"/>
      <c r="R48" s="3"/>
      <c r="S48" s="3"/>
      <c r="T48" s="3"/>
      <c r="U48" s="3"/>
      <c r="V48" s="3"/>
      <c r="W48" s="3"/>
      <c r="X48" s="4"/>
      <c r="Y48" s="4"/>
      <c r="Z48" s="4"/>
      <c r="AA48" s="4"/>
      <c r="AB48" s="4"/>
      <c r="AC48" s="4"/>
      <c r="AD48" s="4"/>
      <c r="AE48" s="4"/>
      <c r="AF48" s="4"/>
      <c r="AG48" s="144"/>
      <c r="AH48" s="144"/>
      <c r="AI48" s="144"/>
      <c r="AJ48" s="144"/>
      <c r="AK48" s="144"/>
      <c r="AL48" s="144"/>
      <c r="AM48" s="144"/>
      <c r="AN48" s="144"/>
      <c r="AO48" s="144"/>
      <c r="AP48" s="11"/>
      <c r="AQ48" s="11"/>
      <c r="AR48" s="11"/>
      <c r="AS48" s="11"/>
      <c r="AT48" s="11"/>
      <c r="AU48" s="11"/>
      <c r="AV48" s="11"/>
      <c r="AW48" s="11"/>
      <c r="AX48" s="11"/>
      <c r="AY48" s="145"/>
      <c r="AZ48" s="145"/>
      <c r="BA48" s="145"/>
      <c r="BB48" s="145"/>
      <c r="BC48" s="145"/>
      <c r="BD48" s="145"/>
      <c r="BE48" s="145"/>
      <c r="BF48" s="145"/>
      <c r="BG48" s="14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234"/>
      <c r="BU48" s="234"/>
      <c r="BV48" s="234"/>
      <c r="BW48" s="234"/>
      <c r="BX48" s="234"/>
      <c r="BY48" s="8"/>
      <c r="BZ48" s="5"/>
      <c r="CA48" s="5"/>
      <c r="CB48" s="5"/>
      <c r="CC48" s="5"/>
      <c r="CE48" s="12"/>
      <c r="CF48" s="12"/>
      <c r="CG48" s="167"/>
      <c r="CH48" s="12"/>
      <c r="CI48" s="82"/>
      <c r="CJ48" s="46"/>
      <c r="CK48" s="46"/>
      <c r="CL48" s="46"/>
      <c r="CM48" s="46"/>
      <c r="CN48" s="46"/>
      <c r="CO48" s="181"/>
      <c r="CP48" s="181"/>
      <c r="CQ48" s="181"/>
      <c r="CR48" s="181"/>
      <c r="CS48" s="7"/>
      <c r="CT48" s="7"/>
      <c r="CU48" s="7"/>
      <c r="CV48" s="7"/>
      <c r="CW48" s="7"/>
      <c r="CX48" s="7"/>
      <c r="CY48" s="19"/>
      <c r="CZ48" s="19"/>
      <c r="DA48" s="19"/>
      <c r="DB48" s="19"/>
      <c r="DC48" s="19"/>
      <c r="DD48" s="40"/>
      <c r="DE48" s="40"/>
      <c r="DF48" s="40"/>
      <c r="DG48" s="40"/>
      <c r="DH48" s="40"/>
      <c r="DI48" s="40"/>
      <c r="DJ48" s="40"/>
      <c r="DK48" s="40"/>
      <c r="DL48" s="40"/>
      <c r="DM48" s="40"/>
      <c r="DN48" s="7"/>
      <c r="DO48" s="7"/>
      <c r="DP48" s="7"/>
      <c r="DQ48" s="7"/>
      <c r="DR48" s="7"/>
      <c r="DS48" s="7"/>
      <c r="DT48" s="7"/>
      <c r="DU48" s="78"/>
      <c r="DV48" s="78"/>
      <c r="DW48" s="6"/>
      <c r="DX48" s="6"/>
      <c r="DY48" s="171"/>
      <c r="DZ48" s="132"/>
      <c r="EA48" s="132"/>
      <c r="EB48" s="132"/>
      <c r="EC48" s="78"/>
      <c r="ED48" s="6"/>
      <c r="EE48" s="194"/>
      <c r="EF48" s="363"/>
      <c r="EG48" s="175"/>
      <c r="EH48" s="363"/>
      <c r="EI48" s="6"/>
      <c r="EJ48" s="363"/>
      <c r="EK48" s="6"/>
      <c r="EL48" s="194"/>
      <c r="EM48" s="6"/>
      <c r="EN48" s="194"/>
      <c r="EO48">
        <v>628.93089999999995</v>
      </c>
    </row>
    <row r="49" spans="2:145" ht="14.65" customHeight="1" x14ac:dyDescent="0.4">
      <c r="B49" s="10" t="s">
        <v>188</v>
      </c>
      <c r="C49" s="10"/>
      <c r="D49" s="161"/>
      <c r="E49" s="289"/>
      <c r="F49" s="16"/>
      <c r="G49" s="16"/>
      <c r="H49" s="149"/>
      <c r="I49" s="39"/>
      <c r="J49" s="25"/>
      <c r="K49" s="2"/>
      <c r="M49" s="76"/>
      <c r="N49" s="76"/>
      <c r="O49" s="3"/>
      <c r="P49" s="3"/>
      <c r="Q49" s="3"/>
      <c r="R49" s="3"/>
      <c r="S49" s="3"/>
      <c r="T49" s="3"/>
      <c r="U49" s="3"/>
      <c r="V49" s="3"/>
      <c r="W49" s="3"/>
      <c r="X49" s="4"/>
      <c r="Y49" s="4"/>
      <c r="Z49" s="4"/>
      <c r="AA49" s="4"/>
      <c r="AB49" s="4"/>
      <c r="AC49" s="4"/>
      <c r="AD49" s="4"/>
      <c r="AE49" s="4"/>
      <c r="AF49" s="4"/>
      <c r="AG49" s="3"/>
      <c r="AH49" s="3"/>
      <c r="AI49" s="3"/>
      <c r="AJ49" s="3"/>
      <c r="AK49" s="3"/>
      <c r="AL49" s="3"/>
      <c r="AM49" s="3"/>
      <c r="AN49" s="3"/>
      <c r="AO49" s="3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8"/>
      <c r="BC49" s="18"/>
      <c r="BD49" s="18"/>
      <c r="BE49" s="18"/>
      <c r="BF49" s="18"/>
      <c r="BG49" s="18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8"/>
      <c r="BZ49" s="5"/>
      <c r="CA49" s="5"/>
      <c r="CB49" s="5"/>
      <c r="CC49" s="5"/>
      <c r="CE49" s="12"/>
      <c r="CF49" s="12"/>
      <c r="CG49" s="168"/>
      <c r="CH49" s="82"/>
      <c r="CI49" s="82"/>
      <c r="CJ49" s="46"/>
      <c r="CK49" s="46"/>
      <c r="CL49" s="46"/>
      <c r="CM49" s="46"/>
      <c r="CN49" s="46"/>
      <c r="CO49" s="43"/>
      <c r="CP49" s="43"/>
      <c r="CQ49" s="43"/>
      <c r="CR49" s="43"/>
      <c r="CS49" s="7"/>
      <c r="CT49" s="7"/>
      <c r="CU49" s="7"/>
      <c r="CV49" s="7"/>
      <c r="CW49" s="7"/>
      <c r="CX49" s="7"/>
      <c r="CY49" s="41"/>
      <c r="CZ49" s="41"/>
      <c r="DA49" s="41"/>
      <c r="DB49" s="41"/>
      <c r="DC49" s="101"/>
      <c r="DD49" s="40"/>
      <c r="DE49" s="40"/>
      <c r="DF49" s="40"/>
      <c r="DG49" s="40"/>
      <c r="DH49" s="40"/>
      <c r="DI49" s="40"/>
      <c r="DJ49" s="40"/>
      <c r="DK49" s="40"/>
      <c r="DL49" s="40"/>
      <c r="DM49" s="40"/>
      <c r="DN49" s="7"/>
      <c r="DO49" s="7"/>
      <c r="DP49" s="85"/>
      <c r="DQ49" s="85"/>
      <c r="DR49" s="85"/>
      <c r="DS49" s="85"/>
      <c r="DT49" s="85"/>
      <c r="DU49" s="78"/>
      <c r="DV49" s="78"/>
      <c r="DW49" s="6"/>
      <c r="DX49" s="6"/>
      <c r="DY49" s="171"/>
      <c r="DZ49" s="132"/>
      <c r="EA49" s="132"/>
      <c r="EB49" s="132"/>
      <c r="EC49" s="78"/>
      <c r="ED49" s="6"/>
      <c r="EE49" s="194"/>
      <c r="EF49" s="6"/>
      <c r="EG49" s="175"/>
      <c r="EH49" s="6"/>
      <c r="EI49" s="6"/>
      <c r="EJ49" s="6"/>
      <c r="EK49" s="6"/>
      <c r="EL49" s="194"/>
      <c r="EM49" s="6"/>
      <c r="EN49" s="194"/>
      <c r="EO49">
        <v>938.559168</v>
      </c>
    </row>
    <row r="50" spans="2:145" x14ac:dyDescent="0.25">
      <c r="B50" s="10" t="s">
        <v>210</v>
      </c>
      <c r="C50" s="10"/>
      <c r="D50" s="38" t="s">
        <v>155</v>
      </c>
      <c r="F50" s="143"/>
      <c r="G50" s="147"/>
      <c r="H50" s="149"/>
      <c r="I50" s="3"/>
      <c r="J50" s="25"/>
      <c r="K50" s="3"/>
      <c r="L50" s="3"/>
      <c r="M50" s="76"/>
      <c r="N50" s="76"/>
      <c r="O50" s="3"/>
      <c r="P50" s="3"/>
      <c r="Q50" s="3"/>
      <c r="R50" s="3"/>
      <c r="S50" s="3"/>
      <c r="T50" s="3"/>
      <c r="U50" s="3"/>
      <c r="V50" s="3"/>
      <c r="W50" s="3"/>
      <c r="X50" s="21"/>
      <c r="Y50" s="21"/>
      <c r="Z50" s="21"/>
      <c r="AA50" s="21"/>
      <c r="AB50" s="21"/>
      <c r="AC50" s="21"/>
      <c r="AD50" s="21"/>
      <c r="AE50" s="21"/>
      <c r="AF50" s="21"/>
      <c r="AG50" s="144"/>
      <c r="AH50" s="144"/>
      <c r="AI50" s="144"/>
      <c r="AJ50" s="144"/>
      <c r="AK50" s="144"/>
      <c r="AL50" s="144"/>
      <c r="AM50" s="144"/>
      <c r="AN50" s="144"/>
      <c r="AO50" s="144"/>
      <c r="AP50" s="11"/>
      <c r="AQ50" s="11"/>
      <c r="AR50" s="11"/>
      <c r="AS50" s="11"/>
      <c r="AT50" s="11"/>
      <c r="AU50" s="11"/>
      <c r="AV50" s="11"/>
      <c r="AW50" s="11"/>
      <c r="AX50" s="230"/>
      <c r="AY50" s="145"/>
      <c r="AZ50" s="145"/>
      <c r="BA50" s="145"/>
      <c r="BB50" s="145"/>
      <c r="BC50" s="145"/>
      <c r="BD50" s="145"/>
      <c r="BE50" s="145"/>
      <c r="BF50" s="145"/>
      <c r="BG50" s="14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8"/>
      <c r="BZ50" s="5"/>
      <c r="CA50" s="5"/>
      <c r="CB50" s="5"/>
      <c r="CC50" s="5"/>
      <c r="CE50" s="12"/>
      <c r="CF50" s="12"/>
      <c r="CG50" s="379"/>
      <c r="CH50" s="12"/>
      <c r="CI50" s="82"/>
      <c r="CJ50" s="46"/>
      <c r="CK50" s="46"/>
      <c r="CL50" s="46"/>
      <c r="CM50" s="46"/>
      <c r="CN50" s="46"/>
      <c r="CO50" s="43"/>
      <c r="CP50" s="43"/>
      <c r="CQ50" s="43"/>
      <c r="CR50" s="43"/>
      <c r="CS50" s="7"/>
      <c r="CT50" s="7"/>
      <c r="CU50" s="7"/>
      <c r="CV50" s="7"/>
      <c r="CW50" s="7"/>
      <c r="CX50" s="7"/>
      <c r="CY50" s="41"/>
      <c r="CZ50" s="41"/>
      <c r="DA50" s="41"/>
      <c r="DB50" s="41"/>
      <c r="DC50" s="19"/>
      <c r="DD50" s="40"/>
      <c r="DE50" s="198"/>
      <c r="DF50" s="198"/>
      <c r="DG50" s="198"/>
      <c r="DH50" s="198"/>
      <c r="DI50" s="40"/>
      <c r="DJ50" s="40"/>
      <c r="DK50" s="40"/>
      <c r="DL50" s="40"/>
      <c r="DM50" s="40"/>
      <c r="DN50" s="7"/>
      <c r="DO50" s="7"/>
      <c r="DP50" s="7"/>
      <c r="DQ50" s="7"/>
      <c r="DR50" s="7"/>
      <c r="DS50" s="7"/>
      <c r="DT50" s="7"/>
      <c r="DU50" s="78"/>
      <c r="DV50" s="78"/>
      <c r="DW50" s="6"/>
      <c r="DX50" s="6"/>
      <c r="DY50" s="171"/>
      <c r="DZ50" s="132"/>
      <c r="EA50" s="132"/>
      <c r="EB50" s="132"/>
      <c r="EC50" s="78"/>
      <c r="ED50" s="6"/>
      <c r="EE50" s="194"/>
      <c r="EF50" s="363"/>
      <c r="EG50" s="6"/>
      <c r="EH50" s="363"/>
      <c r="EI50" s="6"/>
      <c r="EJ50" s="363"/>
      <c r="EK50" s="6"/>
      <c r="EL50" s="194"/>
      <c r="EM50" s="6"/>
      <c r="EN50" s="194"/>
      <c r="EO50">
        <v>449.75225599999999</v>
      </c>
    </row>
    <row r="51" spans="2:145" outlineLevel="1" x14ac:dyDescent="0.25">
      <c r="B51" s="10" t="s">
        <v>183</v>
      </c>
      <c r="C51" s="10"/>
      <c r="D51" s="62"/>
      <c r="E51" s="63"/>
      <c r="F51" s="151"/>
      <c r="G51" s="63"/>
      <c r="H51" s="152"/>
      <c r="I51" s="64"/>
      <c r="J51" s="64"/>
      <c r="K51" s="86"/>
      <c r="L51" s="63"/>
      <c r="M51" s="72"/>
      <c r="N51" s="153"/>
      <c r="O51" s="154"/>
      <c r="P51" s="154"/>
      <c r="Q51" s="154"/>
      <c r="R51" s="154"/>
      <c r="S51" s="154"/>
      <c r="T51" s="154"/>
      <c r="U51" s="154"/>
      <c r="V51" s="154"/>
      <c r="W51" s="154"/>
      <c r="X51" s="65"/>
      <c r="Y51" s="65"/>
      <c r="Z51" s="65"/>
      <c r="AA51" s="65"/>
      <c r="AB51" s="65"/>
      <c r="AC51" s="65"/>
      <c r="AD51" s="65"/>
      <c r="AE51" s="65"/>
      <c r="AF51" s="65"/>
      <c r="AG51" s="155"/>
      <c r="AH51" s="155"/>
      <c r="AI51" s="155"/>
      <c r="AJ51" s="155"/>
      <c r="AK51" s="155"/>
      <c r="AL51" s="155"/>
      <c r="AM51" s="155"/>
      <c r="AN51" s="155"/>
      <c r="AO51" s="155"/>
      <c r="AP51" s="156"/>
      <c r="AQ51" s="156"/>
      <c r="AR51" s="156"/>
      <c r="AS51" s="156"/>
      <c r="AT51" s="156"/>
      <c r="AU51" s="156"/>
      <c r="AV51" s="156"/>
      <c r="AW51" s="156"/>
      <c r="AX51" s="156"/>
      <c r="AY51" s="157"/>
      <c r="AZ51" s="157"/>
      <c r="BA51" s="157"/>
      <c r="BB51" s="157"/>
      <c r="BC51" s="157"/>
      <c r="BD51" s="157"/>
      <c r="BE51" s="157"/>
      <c r="BF51" s="157"/>
      <c r="BG51" s="157"/>
      <c r="BH51" s="158"/>
      <c r="BI51" s="158"/>
      <c r="BJ51" s="158"/>
      <c r="BK51" s="158"/>
      <c r="BL51" s="158"/>
      <c r="BM51" s="158"/>
      <c r="BN51" s="158"/>
      <c r="BO51" s="158"/>
      <c r="BP51" s="158"/>
      <c r="BQ51" s="158"/>
      <c r="BR51" s="158"/>
      <c r="BS51" s="158"/>
      <c r="BT51" s="158"/>
      <c r="BU51" s="158"/>
      <c r="BV51" s="158"/>
      <c r="BW51" s="158"/>
      <c r="BX51" s="158"/>
      <c r="BY51" s="66"/>
      <c r="BZ51" s="158"/>
      <c r="CA51" s="158"/>
      <c r="CB51" s="158"/>
      <c r="CC51" s="158"/>
      <c r="CD51" s="63"/>
      <c r="CE51" s="67"/>
      <c r="CF51" s="67"/>
      <c r="CG51" s="169"/>
      <c r="CH51" s="67"/>
      <c r="CI51" s="67"/>
      <c r="CJ51" s="68"/>
      <c r="CK51" s="68"/>
      <c r="CL51" s="68"/>
      <c r="CM51" s="68"/>
      <c r="CN51" s="68"/>
      <c r="CO51" s="73"/>
      <c r="CP51" s="73"/>
      <c r="CQ51" s="73"/>
      <c r="CR51" s="73"/>
      <c r="CS51" s="69"/>
      <c r="CT51" s="69"/>
      <c r="CU51" s="69"/>
      <c r="CV51" s="69"/>
      <c r="CW51" s="69"/>
      <c r="CX51" s="69"/>
      <c r="CY51" s="74"/>
      <c r="CZ51" s="74"/>
      <c r="DA51" s="74"/>
      <c r="DB51" s="74"/>
      <c r="DC51" s="74"/>
      <c r="DD51" s="70"/>
      <c r="DE51" s="70"/>
      <c r="DF51" s="70"/>
      <c r="DG51" s="70"/>
      <c r="DH51" s="70"/>
      <c r="DI51" s="70"/>
      <c r="DJ51" s="70"/>
      <c r="DK51" s="70"/>
      <c r="DL51" s="70"/>
      <c r="DM51" s="70"/>
      <c r="DN51" s="69"/>
      <c r="DO51" s="69"/>
      <c r="DP51" s="69"/>
      <c r="DQ51" s="69"/>
      <c r="DR51" s="69"/>
      <c r="DS51" s="69"/>
      <c r="DT51" s="69"/>
      <c r="DU51" s="77"/>
      <c r="DV51" s="77"/>
      <c r="DW51" s="71"/>
      <c r="DX51" s="71"/>
      <c r="DY51" s="166"/>
      <c r="EC51" s="77"/>
      <c r="ED51" s="71"/>
      <c r="EE51" s="195"/>
      <c r="EF51" s="363"/>
      <c r="EG51" s="71"/>
      <c r="EH51" s="363"/>
      <c r="EI51" s="71"/>
      <c r="EJ51" s="363"/>
      <c r="EK51" s="71"/>
      <c r="EL51" s="195"/>
      <c r="EM51" s="71"/>
      <c r="EN51" s="195"/>
      <c r="EO51">
        <v>250.34084799999999</v>
      </c>
    </row>
    <row r="52" spans="2:145" ht="16.5" thickBot="1" x14ac:dyDescent="0.3">
      <c r="B52" s="10" t="s">
        <v>177</v>
      </c>
      <c r="C52" s="10"/>
      <c r="D52" s="325" t="s">
        <v>168</v>
      </c>
      <c r="E52" s="326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173"/>
      <c r="BZ52" s="49"/>
      <c r="CA52" s="49"/>
      <c r="CB52" s="49"/>
      <c r="CC52" s="49"/>
      <c r="CD52" s="49"/>
      <c r="CE52" s="49"/>
      <c r="CF52" s="49"/>
      <c r="CG52" s="173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  <c r="DK52" s="49"/>
      <c r="DL52" s="49"/>
      <c r="DM52" s="49"/>
      <c r="DN52" s="49"/>
      <c r="DO52" s="49"/>
      <c r="DP52" s="49"/>
      <c r="DQ52" s="49"/>
      <c r="DR52" s="49"/>
      <c r="DS52" s="49"/>
      <c r="DT52" s="49"/>
      <c r="DU52" s="173"/>
      <c r="DV52" s="173"/>
      <c r="DW52" s="49"/>
      <c r="DX52" s="49"/>
      <c r="DY52" s="173"/>
      <c r="DZ52" s="49"/>
      <c r="EA52" s="49"/>
      <c r="EB52" s="49"/>
      <c r="EC52" s="173"/>
      <c r="ED52" s="49"/>
      <c r="EE52" s="105"/>
      <c r="EF52" s="380"/>
      <c r="EG52" s="49"/>
      <c r="EH52" s="380"/>
      <c r="EI52" s="49"/>
      <c r="EJ52" s="380"/>
      <c r="EK52" s="49"/>
      <c r="EL52" s="105"/>
      <c r="EM52" s="49"/>
      <c r="EN52" s="105"/>
      <c r="EO52">
        <v>554.41120000000001</v>
      </c>
    </row>
    <row r="54" spans="2:145" x14ac:dyDescent="0.25">
      <c r="D54" t="s">
        <v>245</v>
      </c>
    </row>
    <row r="55" spans="2:145" x14ac:dyDescent="0.25">
      <c r="D55" t="s">
        <v>184</v>
      </c>
      <c r="BY55">
        <v>20.249610781236033</v>
      </c>
      <c r="BZ55">
        <v>17.711023518798999</v>
      </c>
      <c r="CA55">
        <v>16.089195584264854</v>
      </c>
      <c r="EC55">
        <v>1.6674109999999999E-2</v>
      </c>
      <c r="ED55">
        <v>3.9432459999999996E-2</v>
      </c>
      <c r="EE55">
        <v>0.10782510000000001</v>
      </c>
    </row>
    <row r="56" spans="2:145" x14ac:dyDescent="0.25">
      <c r="D56" t="s">
        <v>74</v>
      </c>
      <c r="BY56">
        <v>22.067968288188265</v>
      </c>
      <c r="BZ56">
        <v>19.195056360804664</v>
      </c>
      <c r="CA56">
        <v>17.16822272594365</v>
      </c>
      <c r="EC56">
        <v>3.8869970000000004E-2</v>
      </c>
      <c r="ED56">
        <v>7.8864520000000007E-2</v>
      </c>
      <c r="EE56">
        <v>0.1145545</v>
      </c>
    </row>
  </sheetData>
  <autoFilter ref="D5:EN52" xr:uid="{FEB3A555-C87F-4348-96C6-B576A163DFA3}">
    <sortState xmlns:xlrd2="http://schemas.microsoft.com/office/spreadsheetml/2017/richdata2" ref="D6:EN52">
      <sortCondition descending="1" ref="DW5:DW52"/>
    </sortState>
  </autoFilter>
  <conditionalFormatting sqref="BO6:BS6">
    <cfRule type="colorScale" priority="8">
      <colorScale>
        <cfvo type="min"/>
        <cfvo type="max"/>
        <color rgb="FF63BE7B"/>
        <color rgb="FFFFEF9C"/>
      </colorScale>
    </cfRule>
  </conditionalFormatting>
  <conditionalFormatting sqref="BZ6">
    <cfRule type="colorScale" priority="11">
      <colorScale>
        <cfvo type="min"/>
        <cfvo type="max"/>
        <color rgb="FFFFEF9C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">
      <colorScale>
        <cfvo type="min"/>
        <cfvo type="max"/>
        <color rgb="FF63BE7B"/>
        <color rgb="FFFFEF9C"/>
      </colorScale>
    </cfRule>
    <cfRule type="colorScale" priority="22">
      <colorScale>
        <cfvo type="min"/>
        <cfvo type="max"/>
        <color rgb="FFFFEF9C"/>
        <color rgb="FF63BE7B"/>
      </colorScale>
    </cfRule>
    <cfRule type="colorScale" priority="23">
      <colorScale>
        <cfvo type="min"/>
        <cfvo type="max"/>
        <color rgb="FF63BE7B"/>
        <color rgb="FFFFEF9C"/>
      </colorScale>
    </cfRule>
  </conditionalFormatting>
  <conditionalFormatting sqref="DW7:DW52">
    <cfRule type="colorScale" priority="13">
      <colorScale>
        <cfvo type="min"/>
        <cfvo type="max"/>
        <color rgb="FFFFEF9C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W6:DX6">
    <cfRule type="colorScale" priority="5">
      <colorScale>
        <cfvo type="min"/>
        <cfvo type="max"/>
        <color rgb="FFFFEF9C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Y46:DZ47">
    <cfRule type="colorScale" priority="9">
      <colorScale>
        <cfvo type="num" val="0.1"/>
        <cfvo type="percentile" val="0.15"/>
        <cfvo type="num" val="0.3"/>
        <color rgb="FFF8696B"/>
        <color rgb="FFFFEB84"/>
        <color rgb="FF63BE7B"/>
      </colorScale>
    </cfRule>
  </conditionalFormatting>
  <conditionalFormatting sqref="EA6">
    <cfRule type="colorScale" priority="10">
      <colorScale>
        <cfvo type="min"/>
        <cfvo type="max"/>
        <color rgb="FFFCFCFF"/>
        <color rgb="FF63BE7B"/>
      </colorScale>
    </cfRule>
    <cfRule type="colorScale" priority="15">
      <colorScale>
        <cfvo type="min"/>
        <cfvo type="max"/>
        <color rgb="FFFFEF9C"/>
        <color rgb="FF63BE7B"/>
      </colorScale>
    </cfRule>
  </conditionalFormatting>
  <conditionalFormatting sqref="EC6:EE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E7:EE52">
    <cfRule type="colorScale" priority="3">
      <colorScale>
        <cfvo type="min"/>
        <cfvo type="max"/>
        <color rgb="FFFFEF9C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L6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L7:EL52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scale="35" orientation="landscape" horizontalDpi="300" verticalDpi="300" r:id="rId1"/>
  <colBreaks count="1" manualBreakCount="1">
    <brk id="2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Summary</vt:lpstr>
      <vt:lpstr>Sheet1</vt:lpstr>
      <vt:lpstr>P2 Names</vt:lpstr>
      <vt:lpstr>Hyperscaler benchmarking</vt:lpstr>
      <vt:lpstr>Backup&gt;&gt;</vt:lpstr>
      <vt:lpstr>Margin Benchmarking</vt:lpstr>
      <vt:lpstr>2026-04-26 Output</vt:lpstr>
      <vt:lpstr>'2026-04-26 Output'!Print_Area</vt:lpstr>
      <vt:lpstr>'P2 Names'!Print_Area</vt:lpstr>
      <vt:lpstr>Summary!Print_Area</vt:lpstr>
    </vt:vector>
  </TitlesOfParts>
  <Company>MWG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Nikhil</dc:creator>
  <cp:lastModifiedBy>Nikhil Kumar</cp:lastModifiedBy>
  <cp:lastPrinted>2026-06-03T18:36:18Z</cp:lastPrinted>
  <dcterms:created xsi:type="dcterms:W3CDTF">2024-05-21T22:02:45Z</dcterms:created>
  <dcterms:modified xsi:type="dcterms:W3CDTF">2026-06-10T17:42:01Z</dcterms:modified>
</cp:coreProperties>
</file>